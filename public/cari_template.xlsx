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eket Girişi" sheetId="1" state="visible" r:id="rId1"/>
    <sheet xmlns:r="http://schemas.openxmlformats.org/officeDocument/2006/relationships" name="Muavin" sheetId="2" state="visible" r:id="rId2"/>
    <sheet xmlns:r="http://schemas.openxmlformats.org/officeDocument/2006/relationships" name="Özet Dashboard" sheetId="3" state="visible" r:id="rId3"/>
    <sheet xmlns:r="http://schemas.openxmlformats.org/officeDocument/2006/relationships" name="Ocak" sheetId="4" state="visible" r:id="rId4"/>
    <sheet xmlns:r="http://schemas.openxmlformats.org/officeDocument/2006/relationships" name="Şubat" sheetId="5" state="visible" r:id="rId5"/>
    <sheet xmlns:r="http://schemas.openxmlformats.org/officeDocument/2006/relationships" name="Mart" sheetId="6" state="visible" r:id="rId6"/>
    <sheet xmlns:r="http://schemas.openxmlformats.org/officeDocument/2006/relationships" name="Tahsilatlar" sheetId="7" state="visible" r:id="rId7"/>
    <sheet xmlns:r="http://schemas.openxmlformats.org/officeDocument/2006/relationships" name="Notlar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_);[Red](#,##0.00);-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color rgb="000000FF"/>
    </font>
    <font>
      <color rgb="00000000"/>
    </font>
    <font>
      <b val="1"/>
    </font>
    <font>
      <b val="1"/>
      <sz val="16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3F4F6"/>
      </patternFill>
    </fill>
    <fill>
      <patternFill patternType="solid">
        <fgColor rgb="00EAF3FB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bottom style="medium">
        <color rgb="001F4E78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D0D7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5" fillId="0" borderId="0" pivotButton="0" quotePrefix="0" xfId="0"/>
    <xf numFmtId="0" fontId="6" fillId="5" borderId="0" pivotButton="0" quotePrefix="0" xfId="0"/>
    <xf numFmtId="166" fontId="6" fillId="5" borderId="0" pivotButton="0" quotePrefix="0" xfId="0"/>
    <xf numFmtId="0" fontId="6" fillId="6" borderId="2" applyAlignment="1" pivotButton="0" quotePrefix="0" xfId="0">
      <alignment horizontal="center"/>
    </xf>
    <xf numFmtId="0" fontId="0" fillId="0" borderId="2" pivotButton="0" quotePrefix="0" xfId="0"/>
    <xf numFmtId="0" fontId="6" fillId="8" borderId="2" applyAlignment="1" pivotButton="0" quotePrefix="0" xfId="0">
      <alignment horizontal="center"/>
    </xf>
    <xf numFmtId="0" fontId="6" fillId="9" borderId="2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166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0" fillId="0" borderId="3" pivotButton="0" quotePrefix="0" xfId="0"/>
    <xf numFmtId="166" fontId="0" fillId="0" borderId="3" pivotButton="0" quotePrefix="0" xfId="0"/>
    <xf numFmtId="0" fontId="0" fillId="5" borderId="3" pivotButton="0" quotePrefix="0" xfId="0"/>
    <xf numFmtId="166" fontId="0" fillId="5" borderId="3" pivotButton="0" quotePrefix="0" xfId="0"/>
    <xf numFmtId="0" fontId="0" fillId="4" borderId="0" pivotButton="0" quotePrefix="0" xfId="0"/>
    <xf numFmtId="166" fontId="0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Yürüyen Bakiye</a:t>
            </a:r>
          </a:p>
        </rich>
      </tx>
    </title>
    <plotArea>
      <lineChart>
        <grouping val="standard"/>
        <ser>
          <idx val="0"/>
          <order val="0"/>
          <tx>
            <strRef>
              <f>'Özet Dashboard'!G16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'Özet Dashboard'!$F$17:$F$216</f>
            </numRef>
          </cat>
          <val>
            <numRef>
              <f>'Özet Dashboard'!$G$17:$G$216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ChatGPT</author>
  </authors>
  <commentList>
    <comment ref="A5" authorId="0" shapeId="0">
      <text>
        <t>İşlem tarihi girilir.</t>
      </text>
    </comment>
    <comment ref="D5" authorId="0" shapeId="0">
      <text>
        <t>Satış / fatura tutarı. Pozitif girilir.</t>
      </text>
    </comment>
    <comment ref="E5" authorId="0" shapeId="0">
      <text>
        <t>Tahsilat tutarı. POS dahil brüt tahsilat yazılır.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areketler" displayName="tblHareketler" ref="A5:H205" headerRowCount="1">
  <autoFilter ref="A5:H205"/>
  <tableColumns count="8">
    <tableColumn id="1" name="Tarih"/>
    <tableColumn id="2" name="Tür"/>
    <tableColumn id="3" name="Açıklama"/>
    <tableColumn id="4" name="Borç (Satış)"/>
    <tableColumn id="5" name="Alacak (Tahsilat)"/>
    <tableColumn id="6" name="Ay No"/>
    <tableColumn id="7" name="Ay Adı"/>
    <tableColumn id="8" name="Kontro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uavin" displayName="tblMuavin" ref="A3:F203" headerRowCount="1">
  <autoFilter ref="A3:F203"/>
  <tableColumns count="6">
    <tableColumn id="1" name="Tarih"/>
    <tableColumn id="2" name="Tür"/>
    <tableColumn id="3" name="Açıklama"/>
    <tableColumn id="4" name="Borç (Satış)"/>
    <tableColumn id="5" name="Alacak (Tahsilat)"/>
    <tableColumn id="6" name="Bakiy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16" customWidth="1" min="4" max="4"/>
    <col width="18" customWidth="1" min="5" max="5"/>
    <col width="10" customWidth="1" min="6" max="6"/>
    <col width="14" customWidth="1" min="7" max="7"/>
    <col width="14" customWidth="1" min="8" max="8"/>
  </cols>
  <sheetData>
    <row r="1" ht="24" customHeight="1">
      <c r="A1" s="1" t="inlineStr">
        <is>
          <t>VOLKAN KARAKAŞ - CANLI CARİ SİSTEMİ</t>
        </is>
      </c>
    </row>
    <row r="2">
      <c r="A2" s="2" t="inlineStr">
        <is>
          <t>Sadece mavi yazılı giriş alanlarına veri gir. Dashboard ve muavin otomatik güncellenir.</t>
        </is>
      </c>
    </row>
    <row r="3">
      <c r="A3" t="inlineStr">
        <is>
          <t>Not</t>
        </is>
      </c>
      <c r="B3" s="3" t="inlineStr">
        <is>
          <t>Borç (Satış) = firmaya kesilen fatura / Alacak (Tahsilat) = firmadan gelen ödeme</t>
        </is>
      </c>
    </row>
    <row r="5">
      <c r="A5" s="4" t="inlineStr">
        <is>
          <t>Tarih</t>
        </is>
      </c>
      <c r="B5" s="4" t="inlineStr">
        <is>
          <t>Tür</t>
        </is>
      </c>
      <c r="C5" s="4" t="inlineStr">
        <is>
          <t>Açıklama</t>
        </is>
      </c>
      <c r="D5" s="4" t="inlineStr">
        <is>
          <t>Borç (Satış)</t>
        </is>
      </c>
      <c r="E5" s="4" t="inlineStr">
        <is>
          <t>Alacak (Tahsilat)</t>
        </is>
      </c>
      <c r="F5" s="4" t="inlineStr">
        <is>
          <t>Ay No</t>
        </is>
      </c>
      <c r="G5" s="4" t="inlineStr">
        <is>
          <t>Ay Adı</t>
        </is>
      </c>
      <c r="H5" s="4" t="inlineStr">
        <is>
          <t>Kontrol</t>
        </is>
      </c>
    </row>
    <row r="6">
      <c r="A6" s="5" t="n">
        <v>46045</v>
      </c>
      <c r="B6" s="6" t="inlineStr">
        <is>
          <t>Fatura</t>
        </is>
      </c>
      <c r="C6" s="6" t="inlineStr">
        <is>
          <t>Ocak satış</t>
        </is>
      </c>
      <c r="D6" s="7" t="n">
        <v>300300</v>
      </c>
      <c r="E6" s="7" t="n"/>
      <c r="F6" s="8">
        <f>IF(A6="","",MONTH(A6))</f>
        <v/>
      </c>
      <c r="G6" s="8">
        <f>IF(F6="","",CHOOSE(F6,"Ocak","Şubat","Mart","Nisan","Mayıs","Haziran","Temmuz","Ağustos","Eylül","Ekim","Kasım","Aralık"))</f>
        <v/>
      </c>
      <c r="H6" s="9">
        <f>IF(AND(D6="",E6=""),"",D6-E6)</f>
        <v/>
      </c>
    </row>
    <row r="7">
      <c r="A7" s="5" t="n">
        <v>46048</v>
      </c>
      <c r="B7" s="6" t="inlineStr">
        <is>
          <t>Fatura</t>
        </is>
      </c>
      <c r="C7" s="6" t="inlineStr">
        <is>
          <t>Ocak satış</t>
        </is>
      </c>
      <c r="D7" s="7" t="n">
        <v>311850</v>
      </c>
      <c r="E7" s="7" t="n"/>
      <c r="F7" s="8">
        <f>IF(A7="","",MONTH(A7))</f>
        <v/>
      </c>
      <c r="G7" s="8">
        <f>IF(F7="","",CHOOSE(F7,"Ocak","Şubat","Mart","Nisan","Mayıs","Haziran","Temmuz","Ağustos","Eylül","Ekim","Kasım","Aralık"))</f>
        <v/>
      </c>
      <c r="H7" s="9">
        <f>IF(AND(D7="",E7=""),"",D7-E7)</f>
        <v/>
      </c>
    </row>
    <row r="8">
      <c r="A8" s="5" t="n">
        <v>46050</v>
      </c>
      <c r="B8" s="6" t="inlineStr">
        <is>
          <t>Fatura</t>
        </is>
      </c>
      <c r="C8" s="6" t="inlineStr">
        <is>
          <t>Ocak satış</t>
        </is>
      </c>
      <c r="D8" s="7" t="n">
        <v>323400</v>
      </c>
      <c r="E8" s="7" t="n"/>
      <c r="F8" s="8">
        <f>IF(A8="","",MONTH(A8))</f>
        <v/>
      </c>
      <c r="G8" s="8">
        <f>IF(F8="","",CHOOSE(F8,"Ocak","Şubat","Mart","Nisan","Mayıs","Haziran","Temmuz","Ağustos","Eylül","Ekim","Kasım","Aralık"))</f>
        <v/>
      </c>
      <c r="H8" s="9">
        <f>IF(AND(D8="",E8=""),"",D8-E8)</f>
        <v/>
      </c>
    </row>
    <row r="9">
      <c r="A9" s="5" t="n">
        <v>46051</v>
      </c>
      <c r="B9" s="6" t="inlineStr">
        <is>
          <t>Fatura</t>
        </is>
      </c>
      <c r="C9" s="6" t="inlineStr">
        <is>
          <t>Ocak satış</t>
        </is>
      </c>
      <c r="D9" s="7" t="n">
        <v>171325</v>
      </c>
      <c r="E9" s="7" t="n"/>
      <c r="F9" s="8">
        <f>IF(A9="","",MONTH(A9))</f>
        <v/>
      </c>
      <c r="G9" s="8">
        <f>IF(F9="","",CHOOSE(F9,"Ocak","Şubat","Mart","Nisan","Mayıs","Haziran","Temmuz","Ağustos","Eylül","Ekim","Kasım","Aralık"))</f>
        <v/>
      </c>
      <c r="H9" s="9">
        <f>IF(AND(D9="",E9=""),"",D9-E9)</f>
        <v/>
      </c>
    </row>
    <row r="10">
      <c r="A10" s="5" t="n">
        <v>46065</v>
      </c>
      <c r="B10" s="6" t="inlineStr">
        <is>
          <t>Fatura</t>
        </is>
      </c>
      <c r="C10" s="6" t="inlineStr">
        <is>
          <t>Şubat satış</t>
        </is>
      </c>
      <c r="D10" s="7" t="n">
        <v>230037.5</v>
      </c>
      <c r="E10" s="7" t="n"/>
      <c r="F10" s="8">
        <f>IF(A10="","",MONTH(A10))</f>
        <v/>
      </c>
      <c r="G10" s="8">
        <f>IF(F10="","",CHOOSE(F10,"Ocak","Şubat","Mart","Nisan","Mayıs","Haziran","Temmuz","Ağustos","Eylül","Ekim","Kasım","Aralık"))</f>
        <v/>
      </c>
      <c r="H10" s="9">
        <f>IF(AND(D10="",E10=""),"",D10-E10)</f>
        <v/>
      </c>
    </row>
    <row r="11">
      <c r="A11" s="5" t="n">
        <v>46066</v>
      </c>
      <c r="B11" s="6" t="inlineStr">
        <is>
          <t>Fatura</t>
        </is>
      </c>
      <c r="C11" s="6" t="inlineStr">
        <is>
          <t>Şubat satış</t>
        </is>
      </c>
      <c r="D11" s="7" t="n">
        <v>186626</v>
      </c>
      <c r="E11" s="7" t="n"/>
      <c r="F11" s="8">
        <f>IF(A11="","",MONTH(A11))</f>
        <v/>
      </c>
      <c r="G11" s="8">
        <f>IF(F11="","",CHOOSE(F11,"Ocak","Şubat","Mart","Nisan","Mayıs","Haziran","Temmuz","Ağustos","Eylül","Ekim","Kasım","Aralık"))</f>
        <v/>
      </c>
      <c r="H11" s="9">
        <f>IF(AND(D11="",E11=""),"",D11-E11)</f>
        <v/>
      </c>
    </row>
    <row r="12">
      <c r="A12" s="5" t="n">
        <v>46066</v>
      </c>
      <c r="B12" s="6" t="inlineStr">
        <is>
          <t>Fatura</t>
        </is>
      </c>
      <c r="C12" s="6" t="inlineStr">
        <is>
          <t>Şubat satış</t>
        </is>
      </c>
      <c r="D12" s="7" t="n">
        <v>204765</v>
      </c>
      <c r="E12" s="7" t="n"/>
      <c r="F12" s="8">
        <f>IF(A12="","",MONTH(A12))</f>
        <v/>
      </c>
      <c r="G12" s="8">
        <f>IF(F12="","",CHOOSE(F12,"Ocak","Şubat","Mart","Nisan","Mayıs","Haziran","Temmuz","Ağustos","Eylül","Ekim","Kasım","Aralık"))</f>
        <v/>
      </c>
      <c r="H12" s="9">
        <f>IF(AND(D12="",E12=""),"",D12-E12)</f>
        <v/>
      </c>
    </row>
    <row r="13">
      <c r="A13" s="5" t="n">
        <v>46067</v>
      </c>
      <c r="B13" s="6" t="inlineStr">
        <is>
          <t>Fatura</t>
        </is>
      </c>
      <c r="C13" s="6" t="inlineStr">
        <is>
          <t>Şubat satış</t>
        </is>
      </c>
      <c r="D13" s="7" t="n">
        <v>131835</v>
      </c>
      <c r="E13" s="7" t="n"/>
      <c r="F13" s="8">
        <f>IF(A13="","",MONTH(A13))</f>
        <v/>
      </c>
      <c r="G13" s="8">
        <f>IF(F13="","",CHOOSE(F13,"Ocak","Şubat","Mart","Nisan","Mayıs","Haziran","Temmuz","Ağustos","Eylül","Ekim","Kasım","Aralık"))</f>
        <v/>
      </c>
      <c r="H13" s="9">
        <f>IF(AND(D13="",E13=""),"",D13-E13)</f>
        <v/>
      </c>
    </row>
    <row r="14">
      <c r="A14" s="5" t="n">
        <v>46067</v>
      </c>
      <c r="B14" s="6" t="inlineStr">
        <is>
          <t>Fatura</t>
        </is>
      </c>
      <c r="C14" s="6" t="inlineStr">
        <is>
          <t>Şubat satış</t>
        </is>
      </c>
      <c r="D14" s="7" t="n">
        <v>147543</v>
      </c>
      <c r="E14" s="7" t="n"/>
      <c r="F14" s="8">
        <f>IF(A14="","",MONTH(A14))</f>
        <v/>
      </c>
      <c r="G14" s="8">
        <f>IF(F14="","",CHOOSE(F14,"Ocak","Şubat","Mart","Nisan","Mayıs","Haziran","Temmuz","Ağustos","Eylül","Ekim","Kasım","Aralık"))</f>
        <v/>
      </c>
      <c r="H14" s="9">
        <f>IF(AND(D14="",E14=""),"",D14-E14)</f>
        <v/>
      </c>
    </row>
    <row r="15">
      <c r="A15" s="5" t="n">
        <v>46077</v>
      </c>
      <c r="B15" s="6" t="inlineStr">
        <is>
          <t>Fatura</t>
        </is>
      </c>
      <c r="C15" s="6" t="inlineStr">
        <is>
          <t>Şubat satış</t>
        </is>
      </c>
      <c r="D15" s="7" t="n">
        <v>230010</v>
      </c>
      <c r="E15" s="7" t="n"/>
      <c r="F15" s="8">
        <f>IF(A15="","",MONTH(A15))</f>
        <v/>
      </c>
      <c r="G15" s="8">
        <f>IF(F15="","",CHOOSE(F15,"Ocak","Şubat","Mart","Nisan","Mayıs","Haziran","Temmuz","Ağustos","Eylül","Ekim","Kasım","Aralık"))</f>
        <v/>
      </c>
      <c r="H15" s="9">
        <f>IF(AND(D15="",E15=""),"",D15-E15)</f>
        <v/>
      </c>
    </row>
    <row r="16">
      <c r="A16" s="5" t="n">
        <v>46067</v>
      </c>
      <c r="B16" s="6" t="inlineStr">
        <is>
          <t>POS</t>
        </is>
      </c>
      <c r="C16" s="6" t="inlineStr">
        <is>
          <t>12-14 Şubat POS tahsilat toplamı</t>
        </is>
      </c>
      <c r="D16" s="7" t="n"/>
      <c r="E16" s="7" t="n">
        <v>900806.5</v>
      </c>
      <c r="F16" s="8">
        <f>IF(A16="","",MONTH(A16))</f>
        <v/>
      </c>
      <c r="G16" s="8">
        <f>IF(F16="","",CHOOSE(F16,"Ocak","Şubat","Mart","Nisan","Mayıs","Haziran","Temmuz","Ağustos","Eylül","Ekim","Kasım","Aralık"))</f>
        <v/>
      </c>
      <c r="H16" s="9">
        <f>IF(AND(D16="",E16=""),"",D16-E16)</f>
        <v/>
      </c>
    </row>
    <row r="17">
      <c r="A17" s="5" t="n">
        <v>46092</v>
      </c>
      <c r="B17" s="6" t="inlineStr">
        <is>
          <t>Havale</t>
        </is>
      </c>
      <c r="C17" s="6" t="inlineStr">
        <is>
          <t>Banka hesabına gelen tahsilat</t>
        </is>
      </c>
      <c r="D17" s="7" t="n"/>
      <c r="E17" s="7" t="n">
        <v>200000</v>
      </c>
      <c r="F17" s="8">
        <f>IF(A17="","",MONTH(A17))</f>
        <v/>
      </c>
      <c r="G17" s="8">
        <f>IF(F17="","",CHOOSE(F17,"Ocak","Şubat","Mart","Nisan","Mayıs","Haziran","Temmuz","Ağustos","Eylül","Ekim","Kasım","Aralık"))</f>
        <v/>
      </c>
      <c r="H17" s="9">
        <f>IF(AND(D17="",E17=""),"",D17-E17)</f>
        <v/>
      </c>
    </row>
    <row r="18">
      <c r="A18" s="5" t="n">
        <v>46093</v>
      </c>
      <c r="B18" s="6" t="inlineStr">
        <is>
          <t>Havale</t>
        </is>
      </c>
      <c r="C18" s="6" t="inlineStr">
        <is>
          <t>Ayşe hesabına gelen tahsilat</t>
        </is>
      </c>
      <c r="D18" s="7" t="n"/>
      <c r="E18" s="7" t="n">
        <v>350000</v>
      </c>
      <c r="F18" s="8">
        <f>IF(A18="","",MONTH(A18))</f>
        <v/>
      </c>
      <c r="G18" s="8">
        <f>IF(F18="","",CHOOSE(F18,"Ocak","Şubat","Mart","Nisan","Mayıs","Haziran","Temmuz","Ağustos","Eylül","Ekim","Kasım","Aralık"))</f>
        <v/>
      </c>
      <c r="H18" s="9">
        <f>IF(AND(D18="",E18=""),"",D18-E18)</f>
        <v/>
      </c>
    </row>
    <row r="19">
      <c r="A19" s="5" t="n"/>
      <c r="B19" s="6" t="n"/>
      <c r="C19" s="6" t="n"/>
      <c r="D19" s="7" t="n"/>
      <c r="E19" s="7" t="n"/>
      <c r="F19" s="8">
        <f>IF(A19="","",MONTH(A19))</f>
        <v/>
      </c>
      <c r="G19" s="8">
        <f>IF(F19="","",CHOOSE(F19,"Ocak","Şubat","Mart","Nisan","Mayıs","Haziran","Temmuz","Ağustos","Eylül","Ekim","Kasım","Aralık"))</f>
        <v/>
      </c>
      <c r="H19" s="9">
        <f>IF(AND(D19="",E19=""),"",D19-E19)</f>
        <v/>
      </c>
    </row>
    <row r="20">
      <c r="A20" s="5" t="n"/>
      <c r="B20" s="6" t="n"/>
      <c r="C20" s="6" t="n"/>
      <c r="D20" s="7" t="n"/>
      <c r="E20" s="7" t="n"/>
      <c r="F20" s="8">
        <f>IF(A20="","",MONTH(A20))</f>
        <v/>
      </c>
      <c r="G20" s="8">
        <f>IF(F20="","",CHOOSE(F20,"Ocak","Şubat","Mart","Nisan","Mayıs","Haziran","Temmuz","Ağustos","Eylül","Ekim","Kasım","Aralık"))</f>
        <v/>
      </c>
      <c r="H20" s="9">
        <f>IF(AND(D20="",E20=""),"",D20-E20)</f>
        <v/>
      </c>
    </row>
    <row r="21">
      <c r="A21" s="5" t="n"/>
      <c r="B21" s="6" t="n"/>
      <c r="C21" s="6" t="n"/>
      <c r="D21" s="7" t="n"/>
      <c r="E21" s="7" t="n"/>
      <c r="F21" s="8">
        <f>IF(A21="","",MONTH(A21))</f>
        <v/>
      </c>
      <c r="G21" s="8">
        <f>IF(F21="","",CHOOSE(F21,"Ocak","Şubat","Mart","Nisan","Mayıs","Haziran","Temmuz","Ağustos","Eylül","Ekim","Kasım","Aralık"))</f>
        <v/>
      </c>
      <c r="H21" s="9">
        <f>IF(AND(D21="",E21=""),"",D21-E21)</f>
        <v/>
      </c>
    </row>
    <row r="22">
      <c r="A22" s="5" t="n"/>
      <c r="B22" s="6" t="n"/>
      <c r="C22" s="6" t="n"/>
      <c r="D22" s="7" t="n"/>
      <c r="E22" s="7" t="n"/>
      <c r="F22" s="8">
        <f>IF(A22="","",MONTH(A22))</f>
        <v/>
      </c>
      <c r="G22" s="8">
        <f>IF(F22="","",CHOOSE(F22,"Ocak","Şubat","Mart","Nisan","Mayıs","Haziran","Temmuz","Ağustos","Eylül","Ekim","Kasım","Aralık"))</f>
        <v/>
      </c>
      <c r="H22" s="9">
        <f>IF(AND(D22="",E22=""),"",D22-E22)</f>
        <v/>
      </c>
    </row>
    <row r="23">
      <c r="A23" s="5" t="n"/>
      <c r="B23" s="6" t="n"/>
      <c r="C23" s="6" t="n"/>
      <c r="D23" s="7" t="n"/>
      <c r="E23" s="7" t="n"/>
      <c r="F23" s="8">
        <f>IF(A23="","",MONTH(A23))</f>
        <v/>
      </c>
      <c r="G23" s="8">
        <f>IF(F23="","",CHOOSE(F23,"Ocak","Şubat","Mart","Nisan","Mayıs","Haziran","Temmuz","Ağustos","Eylül","Ekim","Kasım","Aralık"))</f>
        <v/>
      </c>
      <c r="H23" s="9">
        <f>IF(AND(D23="",E23=""),"",D23-E23)</f>
        <v/>
      </c>
    </row>
    <row r="24">
      <c r="A24" s="5" t="n"/>
      <c r="B24" s="6" t="n"/>
      <c r="C24" s="6" t="n"/>
      <c r="D24" s="7" t="n"/>
      <c r="E24" s="7" t="n"/>
      <c r="F24" s="8">
        <f>IF(A24="","",MONTH(A24))</f>
        <v/>
      </c>
      <c r="G24" s="8">
        <f>IF(F24="","",CHOOSE(F24,"Ocak","Şubat","Mart","Nisan","Mayıs","Haziran","Temmuz","Ağustos","Eylül","Ekim","Kasım","Aralık"))</f>
        <v/>
      </c>
      <c r="H24" s="9">
        <f>IF(AND(D24="",E24=""),"",D24-E24)</f>
        <v/>
      </c>
    </row>
    <row r="25">
      <c r="A25" s="5" t="n"/>
      <c r="B25" s="6" t="n"/>
      <c r="C25" s="6" t="n"/>
      <c r="D25" s="7" t="n"/>
      <c r="E25" s="7" t="n"/>
      <c r="F25" s="8">
        <f>IF(A25="","",MONTH(A25))</f>
        <v/>
      </c>
      <c r="G25" s="8">
        <f>IF(F25="","",CHOOSE(F25,"Ocak","Şubat","Mart","Nisan","Mayıs","Haziran","Temmuz","Ağustos","Eylül","Ekim","Kasım","Aralık"))</f>
        <v/>
      </c>
      <c r="H25" s="9">
        <f>IF(AND(D25="",E25=""),"",D25-E25)</f>
        <v/>
      </c>
    </row>
    <row r="26">
      <c r="A26" s="5" t="n"/>
      <c r="B26" s="6" t="n"/>
      <c r="C26" s="6" t="n"/>
      <c r="D26" s="7" t="n"/>
      <c r="E26" s="7" t="n"/>
      <c r="F26" s="8">
        <f>IF(A26="","",MONTH(A26))</f>
        <v/>
      </c>
      <c r="G26" s="8">
        <f>IF(F26="","",CHOOSE(F26,"Ocak","Şubat","Mart","Nisan","Mayıs","Haziran","Temmuz","Ağustos","Eylül","Ekim","Kasım","Aralık"))</f>
        <v/>
      </c>
      <c r="H26" s="9">
        <f>IF(AND(D26="",E26=""),"",D26-E26)</f>
        <v/>
      </c>
    </row>
    <row r="27">
      <c r="A27" s="5" t="n"/>
      <c r="B27" s="6" t="n"/>
      <c r="C27" s="6" t="n"/>
      <c r="D27" s="7" t="n"/>
      <c r="E27" s="7" t="n"/>
      <c r="F27" s="8">
        <f>IF(A27="","",MONTH(A27))</f>
        <v/>
      </c>
      <c r="G27" s="8">
        <f>IF(F27="","",CHOOSE(F27,"Ocak","Şubat","Mart","Nisan","Mayıs","Haziran","Temmuz","Ağustos","Eylül","Ekim","Kasım","Aralık"))</f>
        <v/>
      </c>
      <c r="H27" s="9">
        <f>IF(AND(D27="",E27=""),"",D27-E27)</f>
        <v/>
      </c>
    </row>
    <row r="28">
      <c r="A28" s="5" t="n"/>
      <c r="B28" s="6" t="n"/>
      <c r="C28" s="6" t="n"/>
      <c r="D28" s="7" t="n"/>
      <c r="E28" s="7" t="n"/>
      <c r="F28" s="8">
        <f>IF(A28="","",MONTH(A28))</f>
        <v/>
      </c>
      <c r="G28" s="8">
        <f>IF(F28="","",CHOOSE(F28,"Ocak","Şubat","Mart","Nisan","Mayıs","Haziran","Temmuz","Ağustos","Eylül","Ekim","Kasım","Aralık"))</f>
        <v/>
      </c>
      <c r="H28" s="9">
        <f>IF(AND(D28="",E28=""),"",D28-E28)</f>
        <v/>
      </c>
    </row>
    <row r="29">
      <c r="A29" s="5" t="n"/>
      <c r="B29" s="6" t="n"/>
      <c r="C29" s="6" t="n"/>
      <c r="D29" s="7" t="n"/>
      <c r="E29" s="7" t="n"/>
      <c r="F29" s="8">
        <f>IF(A29="","",MONTH(A29))</f>
        <v/>
      </c>
      <c r="G29" s="8">
        <f>IF(F29="","",CHOOSE(F29,"Ocak","Şubat","Mart","Nisan","Mayıs","Haziran","Temmuz","Ağustos","Eylül","Ekim","Kasım","Aralık"))</f>
        <v/>
      </c>
      <c r="H29" s="9">
        <f>IF(AND(D29="",E29=""),"",D29-E29)</f>
        <v/>
      </c>
    </row>
    <row r="30">
      <c r="A30" s="5" t="n"/>
      <c r="B30" s="6" t="n"/>
      <c r="C30" s="6" t="n"/>
      <c r="D30" s="7" t="n"/>
      <c r="E30" s="7" t="n"/>
      <c r="F30" s="8">
        <f>IF(A30="","",MONTH(A30))</f>
        <v/>
      </c>
      <c r="G30" s="8">
        <f>IF(F30="","",CHOOSE(F30,"Ocak","Şubat","Mart","Nisan","Mayıs","Haziran","Temmuz","Ağustos","Eylül","Ekim","Kasım","Aralık"))</f>
        <v/>
      </c>
      <c r="H30" s="9">
        <f>IF(AND(D30="",E30=""),"",D30-E30)</f>
        <v/>
      </c>
    </row>
    <row r="31">
      <c r="A31" s="5" t="n"/>
      <c r="B31" s="6" t="n"/>
      <c r="C31" s="6" t="n"/>
      <c r="D31" s="7" t="n"/>
      <c r="E31" s="7" t="n"/>
      <c r="F31" s="8">
        <f>IF(A31="","",MONTH(A31))</f>
        <v/>
      </c>
      <c r="G31" s="8">
        <f>IF(F31="","",CHOOSE(F31,"Ocak","Şubat","Mart","Nisan","Mayıs","Haziran","Temmuz","Ağustos","Eylül","Ekim","Kasım","Aralık"))</f>
        <v/>
      </c>
      <c r="H31" s="9">
        <f>IF(AND(D31="",E31=""),"",D31-E31)</f>
        <v/>
      </c>
    </row>
    <row r="32">
      <c r="A32" s="5" t="n"/>
      <c r="B32" s="6" t="n"/>
      <c r="C32" s="6" t="n"/>
      <c r="D32" s="7" t="n"/>
      <c r="E32" s="7" t="n"/>
      <c r="F32" s="8">
        <f>IF(A32="","",MONTH(A32))</f>
        <v/>
      </c>
      <c r="G32" s="8">
        <f>IF(F32="","",CHOOSE(F32,"Ocak","Şubat","Mart","Nisan","Mayıs","Haziran","Temmuz","Ağustos","Eylül","Ekim","Kasım","Aralık"))</f>
        <v/>
      </c>
      <c r="H32" s="9">
        <f>IF(AND(D32="",E32=""),"",D32-E32)</f>
        <v/>
      </c>
    </row>
    <row r="33">
      <c r="A33" s="5" t="n"/>
      <c r="B33" s="6" t="n"/>
      <c r="C33" s="6" t="n"/>
      <c r="D33" s="7" t="n"/>
      <c r="E33" s="7" t="n"/>
      <c r="F33" s="8">
        <f>IF(A33="","",MONTH(A33))</f>
        <v/>
      </c>
      <c r="G33" s="8">
        <f>IF(F33="","",CHOOSE(F33,"Ocak","Şubat","Mart","Nisan","Mayıs","Haziran","Temmuz","Ağustos","Eylül","Ekim","Kasım","Aralık"))</f>
        <v/>
      </c>
      <c r="H33" s="9">
        <f>IF(AND(D33="",E33=""),"",D33-E33)</f>
        <v/>
      </c>
    </row>
    <row r="34">
      <c r="A34" s="5" t="n"/>
      <c r="B34" s="6" t="n"/>
      <c r="C34" s="6" t="n"/>
      <c r="D34" s="7" t="n"/>
      <c r="E34" s="7" t="n"/>
      <c r="F34" s="8">
        <f>IF(A34="","",MONTH(A34))</f>
        <v/>
      </c>
      <c r="G34" s="8">
        <f>IF(F34="","",CHOOSE(F34,"Ocak","Şubat","Mart","Nisan","Mayıs","Haziran","Temmuz","Ağustos","Eylül","Ekim","Kasım","Aralık"))</f>
        <v/>
      </c>
      <c r="H34" s="9">
        <f>IF(AND(D34="",E34=""),"",D34-E34)</f>
        <v/>
      </c>
    </row>
    <row r="35">
      <c r="A35" s="5" t="n"/>
      <c r="B35" s="6" t="n"/>
      <c r="C35" s="6" t="n"/>
      <c r="D35" s="7" t="n"/>
      <c r="E35" s="7" t="n"/>
      <c r="F35" s="8">
        <f>IF(A35="","",MONTH(A35))</f>
        <v/>
      </c>
      <c r="G35" s="8">
        <f>IF(F35="","",CHOOSE(F35,"Ocak","Şubat","Mart","Nisan","Mayıs","Haziran","Temmuz","Ağustos","Eylül","Ekim","Kasım","Aralık"))</f>
        <v/>
      </c>
      <c r="H35" s="9">
        <f>IF(AND(D35="",E35=""),"",D35-E35)</f>
        <v/>
      </c>
    </row>
    <row r="36">
      <c r="A36" s="5" t="n"/>
      <c r="B36" s="6" t="n"/>
      <c r="C36" s="6" t="n"/>
      <c r="D36" s="7" t="n"/>
      <c r="E36" s="7" t="n"/>
      <c r="F36" s="8">
        <f>IF(A36="","",MONTH(A36))</f>
        <v/>
      </c>
      <c r="G36" s="8">
        <f>IF(F36="","",CHOOSE(F36,"Ocak","Şubat","Mart","Nisan","Mayıs","Haziran","Temmuz","Ağustos","Eylül","Ekim","Kasım","Aralık"))</f>
        <v/>
      </c>
      <c r="H36" s="9">
        <f>IF(AND(D36="",E36=""),"",D36-E36)</f>
        <v/>
      </c>
    </row>
    <row r="37">
      <c r="A37" s="5" t="n"/>
      <c r="B37" s="6" t="n"/>
      <c r="C37" s="6" t="n"/>
      <c r="D37" s="7" t="n"/>
      <c r="E37" s="7" t="n"/>
      <c r="F37" s="8">
        <f>IF(A37="","",MONTH(A37))</f>
        <v/>
      </c>
      <c r="G37" s="8">
        <f>IF(F37="","",CHOOSE(F37,"Ocak","Şubat","Mart","Nisan","Mayıs","Haziran","Temmuz","Ağustos","Eylül","Ekim","Kasım","Aralık"))</f>
        <v/>
      </c>
      <c r="H37" s="9">
        <f>IF(AND(D37="",E37=""),"",D37-E37)</f>
        <v/>
      </c>
    </row>
    <row r="38">
      <c r="A38" s="5" t="n"/>
      <c r="B38" s="6" t="n"/>
      <c r="C38" s="6" t="n"/>
      <c r="D38" s="7" t="n"/>
      <c r="E38" s="7" t="n"/>
      <c r="F38" s="8">
        <f>IF(A38="","",MONTH(A38))</f>
        <v/>
      </c>
      <c r="G38" s="8">
        <f>IF(F38="","",CHOOSE(F38,"Ocak","Şubat","Mart","Nisan","Mayıs","Haziran","Temmuz","Ağustos","Eylül","Ekim","Kasım","Aralık"))</f>
        <v/>
      </c>
      <c r="H38" s="9">
        <f>IF(AND(D38="",E38=""),"",D38-E38)</f>
        <v/>
      </c>
    </row>
    <row r="39">
      <c r="A39" s="5" t="n"/>
      <c r="B39" s="6" t="n"/>
      <c r="C39" s="6" t="n"/>
      <c r="D39" s="7" t="n"/>
      <c r="E39" s="7" t="n"/>
      <c r="F39" s="8">
        <f>IF(A39="","",MONTH(A39))</f>
        <v/>
      </c>
      <c r="G39" s="8">
        <f>IF(F39="","",CHOOSE(F39,"Ocak","Şubat","Mart","Nisan","Mayıs","Haziran","Temmuz","Ağustos","Eylül","Ekim","Kasım","Aralık"))</f>
        <v/>
      </c>
      <c r="H39" s="9">
        <f>IF(AND(D39="",E39=""),"",D39-E39)</f>
        <v/>
      </c>
    </row>
    <row r="40">
      <c r="A40" s="5" t="n"/>
      <c r="B40" s="6" t="n"/>
      <c r="C40" s="6" t="n"/>
      <c r="D40" s="7" t="n"/>
      <c r="E40" s="7" t="n"/>
      <c r="F40" s="8">
        <f>IF(A40="","",MONTH(A40))</f>
        <v/>
      </c>
      <c r="G40" s="8">
        <f>IF(F40="","",CHOOSE(F40,"Ocak","Şubat","Mart","Nisan","Mayıs","Haziran","Temmuz","Ağustos","Eylül","Ekim","Kasım","Aralık"))</f>
        <v/>
      </c>
      <c r="H40" s="9">
        <f>IF(AND(D40="",E40=""),"",D40-E40)</f>
        <v/>
      </c>
    </row>
    <row r="41">
      <c r="A41" s="5" t="n"/>
      <c r="B41" s="6" t="n"/>
      <c r="C41" s="6" t="n"/>
      <c r="D41" s="7" t="n"/>
      <c r="E41" s="7" t="n"/>
      <c r="F41" s="8">
        <f>IF(A41="","",MONTH(A41))</f>
        <v/>
      </c>
      <c r="G41" s="8">
        <f>IF(F41="","",CHOOSE(F41,"Ocak","Şubat","Mart","Nisan","Mayıs","Haziran","Temmuz","Ağustos","Eylül","Ekim","Kasım","Aralık"))</f>
        <v/>
      </c>
      <c r="H41" s="9">
        <f>IF(AND(D41="",E41=""),"",D41-E41)</f>
        <v/>
      </c>
    </row>
    <row r="42">
      <c r="A42" s="5" t="n"/>
      <c r="B42" s="6" t="n"/>
      <c r="C42" s="6" t="n"/>
      <c r="D42" s="7" t="n"/>
      <c r="E42" s="7" t="n"/>
      <c r="F42" s="8">
        <f>IF(A42="","",MONTH(A42))</f>
        <v/>
      </c>
      <c r="G42" s="8">
        <f>IF(F42="","",CHOOSE(F42,"Ocak","Şubat","Mart","Nisan","Mayıs","Haziran","Temmuz","Ağustos","Eylül","Ekim","Kasım","Aralık"))</f>
        <v/>
      </c>
      <c r="H42" s="9">
        <f>IF(AND(D42="",E42=""),"",D42-E42)</f>
        <v/>
      </c>
    </row>
    <row r="43">
      <c r="A43" s="5" t="n"/>
      <c r="B43" s="6" t="n"/>
      <c r="C43" s="6" t="n"/>
      <c r="D43" s="7" t="n"/>
      <c r="E43" s="7" t="n"/>
      <c r="F43" s="8">
        <f>IF(A43="","",MONTH(A43))</f>
        <v/>
      </c>
      <c r="G43" s="8">
        <f>IF(F43="","",CHOOSE(F43,"Ocak","Şubat","Mart","Nisan","Mayıs","Haziran","Temmuz","Ağustos","Eylül","Ekim","Kasım","Aralık"))</f>
        <v/>
      </c>
      <c r="H43" s="9">
        <f>IF(AND(D43="",E43=""),"",D43-E43)</f>
        <v/>
      </c>
    </row>
    <row r="44">
      <c r="A44" s="5" t="n"/>
      <c r="B44" s="6" t="n"/>
      <c r="C44" s="6" t="n"/>
      <c r="D44" s="7" t="n"/>
      <c r="E44" s="7" t="n"/>
      <c r="F44" s="8">
        <f>IF(A44="","",MONTH(A44))</f>
        <v/>
      </c>
      <c r="G44" s="8">
        <f>IF(F44="","",CHOOSE(F44,"Ocak","Şubat","Mart","Nisan","Mayıs","Haziran","Temmuz","Ağustos","Eylül","Ekim","Kasım","Aralık"))</f>
        <v/>
      </c>
      <c r="H44" s="9">
        <f>IF(AND(D44="",E44=""),"",D44-E44)</f>
        <v/>
      </c>
    </row>
    <row r="45">
      <c r="A45" s="5" t="n"/>
      <c r="B45" s="6" t="n"/>
      <c r="C45" s="6" t="n"/>
      <c r="D45" s="7" t="n"/>
      <c r="E45" s="7" t="n"/>
      <c r="F45" s="8">
        <f>IF(A45="","",MONTH(A45))</f>
        <v/>
      </c>
      <c r="G45" s="8">
        <f>IF(F45="","",CHOOSE(F45,"Ocak","Şubat","Mart","Nisan","Mayıs","Haziran","Temmuz","Ağustos","Eylül","Ekim","Kasım","Aralık"))</f>
        <v/>
      </c>
      <c r="H45" s="9">
        <f>IF(AND(D45="",E45=""),"",D45-E45)</f>
        <v/>
      </c>
    </row>
    <row r="46">
      <c r="A46" s="5" t="n"/>
      <c r="B46" s="6" t="n"/>
      <c r="C46" s="6" t="n"/>
      <c r="D46" s="7" t="n"/>
      <c r="E46" s="7" t="n"/>
      <c r="F46" s="8">
        <f>IF(A46="","",MONTH(A46))</f>
        <v/>
      </c>
      <c r="G46" s="8">
        <f>IF(F46="","",CHOOSE(F46,"Ocak","Şubat","Mart","Nisan","Mayıs","Haziran","Temmuz","Ağustos","Eylül","Ekim","Kasım","Aralık"))</f>
        <v/>
      </c>
      <c r="H46" s="9">
        <f>IF(AND(D46="",E46=""),"",D46-E46)</f>
        <v/>
      </c>
    </row>
    <row r="47">
      <c r="A47" s="5" t="n"/>
      <c r="B47" s="6" t="n"/>
      <c r="C47" s="6" t="n"/>
      <c r="D47" s="7" t="n"/>
      <c r="E47" s="7" t="n"/>
      <c r="F47" s="8">
        <f>IF(A47="","",MONTH(A47))</f>
        <v/>
      </c>
      <c r="G47" s="8">
        <f>IF(F47="","",CHOOSE(F47,"Ocak","Şubat","Mart","Nisan","Mayıs","Haziran","Temmuz","Ağustos","Eylül","Ekim","Kasım","Aralık"))</f>
        <v/>
      </c>
      <c r="H47" s="9">
        <f>IF(AND(D47="",E47=""),"",D47-E47)</f>
        <v/>
      </c>
    </row>
    <row r="48">
      <c r="A48" s="5" t="n"/>
      <c r="B48" s="6" t="n"/>
      <c r="C48" s="6" t="n"/>
      <c r="D48" s="7" t="n"/>
      <c r="E48" s="7" t="n"/>
      <c r="F48" s="8">
        <f>IF(A48="","",MONTH(A48))</f>
        <v/>
      </c>
      <c r="G48" s="8">
        <f>IF(F48="","",CHOOSE(F48,"Ocak","Şubat","Mart","Nisan","Mayıs","Haziran","Temmuz","Ağustos","Eylül","Ekim","Kasım","Aralık"))</f>
        <v/>
      </c>
      <c r="H48" s="9">
        <f>IF(AND(D48="",E48=""),"",D48-E48)</f>
        <v/>
      </c>
    </row>
    <row r="49">
      <c r="A49" s="5" t="n"/>
      <c r="B49" s="6" t="n"/>
      <c r="C49" s="6" t="n"/>
      <c r="D49" s="7" t="n"/>
      <c r="E49" s="7" t="n"/>
      <c r="F49" s="8">
        <f>IF(A49="","",MONTH(A49))</f>
        <v/>
      </c>
      <c r="G49" s="8">
        <f>IF(F49="","",CHOOSE(F49,"Ocak","Şubat","Mart","Nisan","Mayıs","Haziran","Temmuz","Ağustos","Eylül","Ekim","Kasım","Aralık"))</f>
        <v/>
      </c>
      <c r="H49" s="9">
        <f>IF(AND(D49="",E49=""),"",D49-E49)</f>
        <v/>
      </c>
    </row>
    <row r="50">
      <c r="A50" s="5" t="n"/>
      <c r="B50" s="6" t="n"/>
      <c r="C50" s="6" t="n"/>
      <c r="D50" s="7" t="n"/>
      <c r="E50" s="7" t="n"/>
      <c r="F50" s="8">
        <f>IF(A50="","",MONTH(A50))</f>
        <v/>
      </c>
      <c r="G50" s="8">
        <f>IF(F50="","",CHOOSE(F50,"Ocak","Şubat","Mart","Nisan","Mayıs","Haziran","Temmuz","Ağustos","Eylül","Ekim","Kasım","Aralık"))</f>
        <v/>
      </c>
      <c r="H50" s="9">
        <f>IF(AND(D50="",E50=""),"",D50-E50)</f>
        <v/>
      </c>
    </row>
    <row r="51">
      <c r="A51" s="5" t="n"/>
      <c r="B51" s="6" t="n"/>
      <c r="C51" s="6" t="n"/>
      <c r="D51" s="7" t="n"/>
      <c r="E51" s="7" t="n"/>
      <c r="F51" s="8">
        <f>IF(A51="","",MONTH(A51))</f>
        <v/>
      </c>
      <c r="G51" s="8">
        <f>IF(F51="","",CHOOSE(F51,"Ocak","Şubat","Mart","Nisan","Mayıs","Haziran","Temmuz","Ağustos","Eylül","Ekim","Kasım","Aralık"))</f>
        <v/>
      </c>
      <c r="H51" s="9">
        <f>IF(AND(D51="",E51=""),"",D51-E51)</f>
        <v/>
      </c>
    </row>
    <row r="52">
      <c r="A52" s="5" t="n"/>
      <c r="B52" s="6" t="n"/>
      <c r="C52" s="6" t="n"/>
      <c r="D52" s="7" t="n"/>
      <c r="E52" s="7" t="n"/>
      <c r="F52" s="8">
        <f>IF(A52="","",MONTH(A52))</f>
        <v/>
      </c>
      <c r="G52" s="8">
        <f>IF(F52="","",CHOOSE(F52,"Ocak","Şubat","Mart","Nisan","Mayıs","Haziran","Temmuz","Ağustos","Eylül","Ekim","Kasım","Aralık"))</f>
        <v/>
      </c>
      <c r="H52" s="9">
        <f>IF(AND(D52="",E52=""),"",D52-E52)</f>
        <v/>
      </c>
    </row>
    <row r="53">
      <c r="A53" s="5" t="n"/>
      <c r="B53" s="6" t="n"/>
      <c r="C53" s="6" t="n"/>
      <c r="D53" s="7" t="n"/>
      <c r="E53" s="7" t="n"/>
      <c r="F53" s="8">
        <f>IF(A53="","",MONTH(A53))</f>
        <v/>
      </c>
      <c r="G53" s="8">
        <f>IF(F53="","",CHOOSE(F53,"Ocak","Şubat","Mart","Nisan","Mayıs","Haziran","Temmuz","Ağustos","Eylül","Ekim","Kasım","Aralık"))</f>
        <v/>
      </c>
      <c r="H53" s="9">
        <f>IF(AND(D53="",E53=""),"",D53-E53)</f>
        <v/>
      </c>
    </row>
    <row r="54">
      <c r="A54" s="5" t="n"/>
      <c r="B54" s="6" t="n"/>
      <c r="C54" s="6" t="n"/>
      <c r="D54" s="7" t="n"/>
      <c r="E54" s="7" t="n"/>
      <c r="F54" s="8">
        <f>IF(A54="","",MONTH(A54))</f>
        <v/>
      </c>
      <c r="G54" s="8">
        <f>IF(F54="","",CHOOSE(F54,"Ocak","Şubat","Mart","Nisan","Mayıs","Haziran","Temmuz","Ağustos","Eylül","Ekim","Kasım","Aralık"))</f>
        <v/>
      </c>
      <c r="H54" s="9">
        <f>IF(AND(D54="",E54=""),"",D54-E54)</f>
        <v/>
      </c>
    </row>
    <row r="55">
      <c r="A55" s="5" t="n"/>
      <c r="B55" s="6" t="n"/>
      <c r="C55" s="6" t="n"/>
      <c r="D55" s="7" t="n"/>
      <c r="E55" s="7" t="n"/>
      <c r="F55" s="8">
        <f>IF(A55="","",MONTH(A55))</f>
        <v/>
      </c>
      <c r="G55" s="8">
        <f>IF(F55="","",CHOOSE(F55,"Ocak","Şubat","Mart","Nisan","Mayıs","Haziran","Temmuz","Ağustos","Eylül","Ekim","Kasım","Aralık"))</f>
        <v/>
      </c>
      <c r="H55" s="9">
        <f>IF(AND(D55="",E55=""),"",D55-E55)</f>
        <v/>
      </c>
    </row>
    <row r="56">
      <c r="A56" s="5" t="n"/>
      <c r="B56" s="6" t="n"/>
      <c r="C56" s="6" t="n"/>
      <c r="D56" s="7" t="n"/>
      <c r="E56" s="7" t="n"/>
      <c r="F56" s="8">
        <f>IF(A56="","",MONTH(A56))</f>
        <v/>
      </c>
      <c r="G56" s="8">
        <f>IF(F56="","",CHOOSE(F56,"Ocak","Şubat","Mart","Nisan","Mayıs","Haziran","Temmuz","Ağustos","Eylül","Ekim","Kasım","Aralık"))</f>
        <v/>
      </c>
      <c r="H56" s="9">
        <f>IF(AND(D56="",E56=""),"",D56-E56)</f>
        <v/>
      </c>
    </row>
    <row r="57">
      <c r="A57" s="5" t="n"/>
      <c r="B57" s="6" t="n"/>
      <c r="C57" s="6" t="n"/>
      <c r="D57" s="7" t="n"/>
      <c r="E57" s="7" t="n"/>
      <c r="F57" s="8">
        <f>IF(A57="","",MONTH(A57))</f>
        <v/>
      </c>
      <c r="G57" s="8">
        <f>IF(F57="","",CHOOSE(F57,"Ocak","Şubat","Mart","Nisan","Mayıs","Haziran","Temmuz","Ağustos","Eylül","Ekim","Kasım","Aralık"))</f>
        <v/>
      </c>
      <c r="H57" s="9">
        <f>IF(AND(D57="",E57=""),"",D57-E57)</f>
        <v/>
      </c>
    </row>
    <row r="58">
      <c r="A58" s="5" t="n"/>
      <c r="B58" s="6" t="n"/>
      <c r="C58" s="6" t="n"/>
      <c r="D58" s="7" t="n"/>
      <c r="E58" s="7" t="n"/>
      <c r="F58" s="8">
        <f>IF(A58="","",MONTH(A58))</f>
        <v/>
      </c>
      <c r="G58" s="8">
        <f>IF(F58="","",CHOOSE(F58,"Ocak","Şubat","Mart","Nisan","Mayıs","Haziran","Temmuz","Ağustos","Eylül","Ekim","Kasım","Aralık"))</f>
        <v/>
      </c>
      <c r="H58" s="9">
        <f>IF(AND(D58="",E58=""),"",D58-E58)</f>
        <v/>
      </c>
    </row>
    <row r="59">
      <c r="A59" s="5" t="n"/>
      <c r="B59" s="6" t="n"/>
      <c r="C59" s="6" t="n"/>
      <c r="D59" s="7" t="n"/>
      <c r="E59" s="7" t="n"/>
      <c r="F59" s="8">
        <f>IF(A59="","",MONTH(A59))</f>
        <v/>
      </c>
      <c r="G59" s="8">
        <f>IF(F59="","",CHOOSE(F59,"Ocak","Şubat","Mart","Nisan","Mayıs","Haziran","Temmuz","Ağustos","Eylül","Ekim","Kasım","Aralık"))</f>
        <v/>
      </c>
      <c r="H59" s="9">
        <f>IF(AND(D59="",E59=""),"",D59-E59)</f>
        <v/>
      </c>
    </row>
    <row r="60">
      <c r="A60" s="5" t="n"/>
      <c r="B60" s="6" t="n"/>
      <c r="C60" s="6" t="n"/>
      <c r="D60" s="7" t="n"/>
      <c r="E60" s="7" t="n"/>
      <c r="F60" s="8">
        <f>IF(A60="","",MONTH(A60))</f>
        <v/>
      </c>
      <c r="G60" s="8">
        <f>IF(F60="","",CHOOSE(F60,"Ocak","Şubat","Mart","Nisan","Mayıs","Haziran","Temmuz","Ağustos","Eylül","Ekim","Kasım","Aralık"))</f>
        <v/>
      </c>
      <c r="H60" s="9">
        <f>IF(AND(D60="",E60=""),"",D60-E60)</f>
        <v/>
      </c>
    </row>
    <row r="61">
      <c r="A61" s="5" t="n"/>
      <c r="B61" s="6" t="n"/>
      <c r="C61" s="6" t="n"/>
      <c r="D61" s="7" t="n"/>
      <c r="E61" s="7" t="n"/>
      <c r="F61" s="8">
        <f>IF(A61="","",MONTH(A61))</f>
        <v/>
      </c>
      <c r="G61" s="8">
        <f>IF(F61="","",CHOOSE(F61,"Ocak","Şubat","Mart","Nisan","Mayıs","Haziran","Temmuz","Ağustos","Eylül","Ekim","Kasım","Aralık"))</f>
        <v/>
      </c>
      <c r="H61" s="9">
        <f>IF(AND(D61="",E61=""),"",D61-E61)</f>
        <v/>
      </c>
    </row>
    <row r="62">
      <c r="A62" s="5" t="n"/>
      <c r="B62" s="6" t="n"/>
      <c r="C62" s="6" t="n"/>
      <c r="D62" s="7" t="n"/>
      <c r="E62" s="7" t="n"/>
      <c r="F62" s="8">
        <f>IF(A62="","",MONTH(A62))</f>
        <v/>
      </c>
      <c r="G62" s="8">
        <f>IF(F62="","",CHOOSE(F62,"Ocak","Şubat","Mart","Nisan","Mayıs","Haziran","Temmuz","Ağustos","Eylül","Ekim","Kasım","Aralık"))</f>
        <v/>
      </c>
      <c r="H62" s="9">
        <f>IF(AND(D62="",E62=""),"",D62-E62)</f>
        <v/>
      </c>
    </row>
    <row r="63">
      <c r="A63" s="5" t="n"/>
      <c r="B63" s="6" t="n"/>
      <c r="C63" s="6" t="n"/>
      <c r="D63" s="7" t="n"/>
      <c r="E63" s="7" t="n"/>
      <c r="F63" s="8">
        <f>IF(A63="","",MONTH(A63))</f>
        <v/>
      </c>
      <c r="G63" s="8">
        <f>IF(F63="","",CHOOSE(F63,"Ocak","Şubat","Mart","Nisan","Mayıs","Haziran","Temmuz","Ağustos","Eylül","Ekim","Kasım","Aralık"))</f>
        <v/>
      </c>
      <c r="H63" s="9">
        <f>IF(AND(D63="",E63=""),"",D63-E63)</f>
        <v/>
      </c>
    </row>
    <row r="64">
      <c r="A64" s="5" t="n"/>
      <c r="B64" s="6" t="n"/>
      <c r="C64" s="6" t="n"/>
      <c r="D64" s="7" t="n"/>
      <c r="E64" s="7" t="n"/>
      <c r="F64" s="8">
        <f>IF(A64="","",MONTH(A64))</f>
        <v/>
      </c>
      <c r="G64" s="8">
        <f>IF(F64="","",CHOOSE(F64,"Ocak","Şubat","Mart","Nisan","Mayıs","Haziran","Temmuz","Ağustos","Eylül","Ekim","Kasım","Aralık"))</f>
        <v/>
      </c>
      <c r="H64" s="9">
        <f>IF(AND(D64="",E64=""),"",D64-E64)</f>
        <v/>
      </c>
    </row>
    <row r="65">
      <c r="A65" s="5" t="n"/>
      <c r="B65" s="6" t="n"/>
      <c r="C65" s="6" t="n"/>
      <c r="D65" s="7" t="n"/>
      <c r="E65" s="7" t="n"/>
      <c r="F65" s="8">
        <f>IF(A65="","",MONTH(A65))</f>
        <v/>
      </c>
      <c r="G65" s="8">
        <f>IF(F65="","",CHOOSE(F65,"Ocak","Şubat","Mart","Nisan","Mayıs","Haziran","Temmuz","Ağustos","Eylül","Ekim","Kasım","Aralık"))</f>
        <v/>
      </c>
      <c r="H65" s="9">
        <f>IF(AND(D65="",E65=""),"",D65-E65)</f>
        <v/>
      </c>
    </row>
    <row r="66">
      <c r="A66" s="5" t="n"/>
      <c r="B66" s="6" t="n"/>
      <c r="C66" s="6" t="n"/>
      <c r="D66" s="7" t="n"/>
      <c r="E66" s="7" t="n"/>
      <c r="F66" s="8">
        <f>IF(A66="","",MONTH(A66))</f>
        <v/>
      </c>
      <c r="G66" s="8">
        <f>IF(F66="","",CHOOSE(F66,"Ocak","Şubat","Mart","Nisan","Mayıs","Haziran","Temmuz","Ağustos","Eylül","Ekim","Kasım","Aralık"))</f>
        <v/>
      </c>
      <c r="H66" s="9">
        <f>IF(AND(D66="",E66=""),"",D66-E66)</f>
        <v/>
      </c>
    </row>
    <row r="67">
      <c r="A67" s="5" t="n"/>
      <c r="B67" s="6" t="n"/>
      <c r="C67" s="6" t="n"/>
      <c r="D67" s="7" t="n"/>
      <c r="E67" s="7" t="n"/>
      <c r="F67" s="8">
        <f>IF(A67="","",MONTH(A67))</f>
        <v/>
      </c>
      <c r="G67" s="8">
        <f>IF(F67="","",CHOOSE(F67,"Ocak","Şubat","Mart","Nisan","Mayıs","Haziran","Temmuz","Ağustos","Eylül","Ekim","Kasım","Aralık"))</f>
        <v/>
      </c>
      <c r="H67" s="9">
        <f>IF(AND(D67="",E67=""),"",D67-E67)</f>
        <v/>
      </c>
    </row>
    <row r="68">
      <c r="A68" s="5" t="n"/>
      <c r="B68" s="6" t="n"/>
      <c r="C68" s="6" t="n"/>
      <c r="D68" s="7" t="n"/>
      <c r="E68" s="7" t="n"/>
      <c r="F68" s="8">
        <f>IF(A68="","",MONTH(A68))</f>
        <v/>
      </c>
      <c r="G68" s="8">
        <f>IF(F68="","",CHOOSE(F68,"Ocak","Şubat","Mart","Nisan","Mayıs","Haziran","Temmuz","Ağustos","Eylül","Ekim","Kasım","Aralık"))</f>
        <v/>
      </c>
      <c r="H68" s="9">
        <f>IF(AND(D68="",E68=""),"",D68-E68)</f>
        <v/>
      </c>
    </row>
    <row r="69">
      <c r="A69" s="5" t="n"/>
      <c r="B69" s="6" t="n"/>
      <c r="C69" s="6" t="n"/>
      <c r="D69" s="7" t="n"/>
      <c r="E69" s="7" t="n"/>
      <c r="F69" s="8">
        <f>IF(A69="","",MONTH(A69))</f>
        <v/>
      </c>
      <c r="G69" s="8">
        <f>IF(F69="","",CHOOSE(F69,"Ocak","Şubat","Mart","Nisan","Mayıs","Haziran","Temmuz","Ağustos","Eylül","Ekim","Kasım","Aralık"))</f>
        <v/>
      </c>
      <c r="H69" s="9">
        <f>IF(AND(D69="",E69=""),"",D69-E69)</f>
        <v/>
      </c>
    </row>
    <row r="70">
      <c r="A70" s="5" t="n"/>
      <c r="B70" s="6" t="n"/>
      <c r="C70" s="6" t="n"/>
      <c r="D70" s="7" t="n"/>
      <c r="E70" s="7" t="n"/>
      <c r="F70" s="8">
        <f>IF(A70="","",MONTH(A70))</f>
        <v/>
      </c>
      <c r="G70" s="8">
        <f>IF(F70="","",CHOOSE(F70,"Ocak","Şubat","Mart","Nisan","Mayıs","Haziran","Temmuz","Ağustos","Eylül","Ekim","Kasım","Aralık"))</f>
        <v/>
      </c>
      <c r="H70" s="9">
        <f>IF(AND(D70="",E70=""),"",D70-E70)</f>
        <v/>
      </c>
    </row>
    <row r="71">
      <c r="A71" s="5" t="n"/>
      <c r="B71" s="6" t="n"/>
      <c r="C71" s="6" t="n"/>
      <c r="D71" s="7" t="n"/>
      <c r="E71" s="7" t="n"/>
      <c r="F71" s="8">
        <f>IF(A71="","",MONTH(A71))</f>
        <v/>
      </c>
      <c r="G71" s="8">
        <f>IF(F71="","",CHOOSE(F71,"Ocak","Şubat","Mart","Nisan","Mayıs","Haziran","Temmuz","Ağustos","Eylül","Ekim","Kasım","Aralık"))</f>
        <v/>
      </c>
      <c r="H71" s="9">
        <f>IF(AND(D71="",E71=""),"",D71-E71)</f>
        <v/>
      </c>
    </row>
    <row r="72">
      <c r="A72" s="5" t="n"/>
      <c r="B72" s="6" t="n"/>
      <c r="C72" s="6" t="n"/>
      <c r="D72" s="7" t="n"/>
      <c r="E72" s="7" t="n"/>
      <c r="F72" s="8">
        <f>IF(A72="","",MONTH(A72))</f>
        <v/>
      </c>
      <c r="G72" s="8">
        <f>IF(F72="","",CHOOSE(F72,"Ocak","Şubat","Mart","Nisan","Mayıs","Haziran","Temmuz","Ağustos","Eylül","Ekim","Kasım","Aralık"))</f>
        <v/>
      </c>
      <c r="H72" s="9">
        <f>IF(AND(D72="",E72=""),"",D72-E72)</f>
        <v/>
      </c>
    </row>
    <row r="73">
      <c r="A73" s="5" t="n"/>
      <c r="B73" s="6" t="n"/>
      <c r="C73" s="6" t="n"/>
      <c r="D73" s="7" t="n"/>
      <c r="E73" s="7" t="n"/>
      <c r="F73" s="8">
        <f>IF(A73="","",MONTH(A73))</f>
        <v/>
      </c>
      <c r="G73" s="8">
        <f>IF(F73="","",CHOOSE(F73,"Ocak","Şubat","Mart","Nisan","Mayıs","Haziran","Temmuz","Ağustos","Eylül","Ekim","Kasım","Aralık"))</f>
        <v/>
      </c>
      <c r="H73" s="9">
        <f>IF(AND(D73="",E73=""),"",D73-E73)</f>
        <v/>
      </c>
    </row>
    <row r="74">
      <c r="A74" s="5" t="n"/>
      <c r="B74" s="6" t="n"/>
      <c r="C74" s="6" t="n"/>
      <c r="D74" s="7" t="n"/>
      <c r="E74" s="7" t="n"/>
      <c r="F74" s="8">
        <f>IF(A74="","",MONTH(A74))</f>
        <v/>
      </c>
      <c r="G74" s="8">
        <f>IF(F74="","",CHOOSE(F74,"Ocak","Şubat","Mart","Nisan","Mayıs","Haziran","Temmuz","Ağustos","Eylül","Ekim","Kasım","Aralık"))</f>
        <v/>
      </c>
      <c r="H74" s="9">
        <f>IF(AND(D74="",E74=""),"",D74-E74)</f>
        <v/>
      </c>
    </row>
    <row r="75">
      <c r="A75" s="5" t="n"/>
      <c r="B75" s="6" t="n"/>
      <c r="C75" s="6" t="n"/>
      <c r="D75" s="7" t="n"/>
      <c r="E75" s="7" t="n"/>
      <c r="F75" s="8">
        <f>IF(A75="","",MONTH(A75))</f>
        <v/>
      </c>
      <c r="G75" s="8">
        <f>IF(F75="","",CHOOSE(F75,"Ocak","Şubat","Mart","Nisan","Mayıs","Haziran","Temmuz","Ağustos","Eylül","Ekim","Kasım","Aralık"))</f>
        <v/>
      </c>
      <c r="H75" s="9">
        <f>IF(AND(D75="",E75=""),"",D75-E75)</f>
        <v/>
      </c>
    </row>
    <row r="76">
      <c r="A76" s="5" t="n"/>
      <c r="B76" s="6" t="n"/>
      <c r="C76" s="6" t="n"/>
      <c r="D76" s="7" t="n"/>
      <c r="E76" s="7" t="n"/>
      <c r="F76" s="8">
        <f>IF(A76="","",MONTH(A76))</f>
        <v/>
      </c>
      <c r="G76" s="8">
        <f>IF(F76="","",CHOOSE(F76,"Ocak","Şubat","Mart","Nisan","Mayıs","Haziran","Temmuz","Ağustos","Eylül","Ekim","Kasım","Aralık"))</f>
        <v/>
      </c>
      <c r="H76" s="9">
        <f>IF(AND(D76="",E76=""),"",D76-E76)</f>
        <v/>
      </c>
    </row>
    <row r="77">
      <c r="A77" s="5" t="n"/>
      <c r="B77" s="6" t="n"/>
      <c r="C77" s="6" t="n"/>
      <c r="D77" s="7" t="n"/>
      <c r="E77" s="7" t="n"/>
      <c r="F77" s="8">
        <f>IF(A77="","",MONTH(A77))</f>
        <v/>
      </c>
      <c r="G77" s="8">
        <f>IF(F77="","",CHOOSE(F77,"Ocak","Şubat","Mart","Nisan","Mayıs","Haziran","Temmuz","Ağustos","Eylül","Ekim","Kasım","Aralık"))</f>
        <v/>
      </c>
      <c r="H77" s="9">
        <f>IF(AND(D77="",E77=""),"",D77-E77)</f>
        <v/>
      </c>
    </row>
    <row r="78">
      <c r="A78" s="5" t="n"/>
      <c r="B78" s="6" t="n"/>
      <c r="C78" s="6" t="n"/>
      <c r="D78" s="7" t="n"/>
      <c r="E78" s="7" t="n"/>
      <c r="F78" s="8">
        <f>IF(A78="","",MONTH(A78))</f>
        <v/>
      </c>
      <c r="G78" s="8">
        <f>IF(F78="","",CHOOSE(F78,"Ocak","Şubat","Mart","Nisan","Mayıs","Haziran","Temmuz","Ağustos","Eylül","Ekim","Kasım","Aralık"))</f>
        <v/>
      </c>
      <c r="H78" s="9">
        <f>IF(AND(D78="",E78=""),"",D78-E78)</f>
        <v/>
      </c>
    </row>
    <row r="79">
      <c r="A79" s="5" t="n"/>
      <c r="B79" s="6" t="n"/>
      <c r="C79" s="6" t="n"/>
      <c r="D79" s="7" t="n"/>
      <c r="E79" s="7" t="n"/>
      <c r="F79" s="8">
        <f>IF(A79="","",MONTH(A79))</f>
        <v/>
      </c>
      <c r="G79" s="8">
        <f>IF(F79="","",CHOOSE(F79,"Ocak","Şubat","Mart","Nisan","Mayıs","Haziran","Temmuz","Ağustos","Eylül","Ekim","Kasım","Aralık"))</f>
        <v/>
      </c>
      <c r="H79" s="9">
        <f>IF(AND(D79="",E79=""),"",D79-E79)</f>
        <v/>
      </c>
    </row>
    <row r="80">
      <c r="A80" s="5" t="n"/>
      <c r="B80" s="6" t="n"/>
      <c r="C80" s="6" t="n"/>
      <c r="D80" s="7" t="n"/>
      <c r="E80" s="7" t="n"/>
      <c r="F80" s="8">
        <f>IF(A80="","",MONTH(A80))</f>
        <v/>
      </c>
      <c r="G80" s="8">
        <f>IF(F80="","",CHOOSE(F80,"Ocak","Şubat","Mart","Nisan","Mayıs","Haziran","Temmuz","Ağustos","Eylül","Ekim","Kasım","Aralık"))</f>
        <v/>
      </c>
      <c r="H80" s="9">
        <f>IF(AND(D80="",E80=""),"",D80-E80)</f>
        <v/>
      </c>
    </row>
    <row r="81">
      <c r="A81" s="5" t="n"/>
      <c r="B81" s="6" t="n"/>
      <c r="C81" s="6" t="n"/>
      <c r="D81" s="7" t="n"/>
      <c r="E81" s="7" t="n"/>
      <c r="F81" s="8">
        <f>IF(A81="","",MONTH(A81))</f>
        <v/>
      </c>
      <c r="G81" s="8">
        <f>IF(F81="","",CHOOSE(F81,"Ocak","Şubat","Mart","Nisan","Mayıs","Haziran","Temmuz","Ağustos","Eylül","Ekim","Kasım","Aralık"))</f>
        <v/>
      </c>
      <c r="H81" s="9">
        <f>IF(AND(D81="",E81=""),"",D81-E81)</f>
        <v/>
      </c>
    </row>
    <row r="82">
      <c r="A82" s="5" t="n"/>
      <c r="B82" s="6" t="n"/>
      <c r="C82" s="6" t="n"/>
      <c r="D82" s="7" t="n"/>
      <c r="E82" s="7" t="n"/>
      <c r="F82" s="8">
        <f>IF(A82="","",MONTH(A82))</f>
        <v/>
      </c>
      <c r="G82" s="8">
        <f>IF(F82="","",CHOOSE(F82,"Ocak","Şubat","Mart","Nisan","Mayıs","Haziran","Temmuz","Ağustos","Eylül","Ekim","Kasım","Aralık"))</f>
        <v/>
      </c>
      <c r="H82" s="9">
        <f>IF(AND(D82="",E82=""),"",D82-E82)</f>
        <v/>
      </c>
    </row>
    <row r="83">
      <c r="A83" s="5" t="n"/>
      <c r="B83" s="6" t="n"/>
      <c r="C83" s="6" t="n"/>
      <c r="D83" s="7" t="n"/>
      <c r="E83" s="7" t="n"/>
      <c r="F83" s="8">
        <f>IF(A83="","",MONTH(A83))</f>
        <v/>
      </c>
      <c r="G83" s="8">
        <f>IF(F83="","",CHOOSE(F83,"Ocak","Şubat","Mart","Nisan","Mayıs","Haziran","Temmuz","Ağustos","Eylül","Ekim","Kasım","Aralık"))</f>
        <v/>
      </c>
      <c r="H83" s="9">
        <f>IF(AND(D83="",E83=""),"",D83-E83)</f>
        <v/>
      </c>
    </row>
    <row r="84">
      <c r="A84" s="5" t="n"/>
      <c r="B84" s="6" t="n"/>
      <c r="C84" s="6" t="n"/>
      <c r="D84" s="7" t="n"/>
      <c r="E84" s="7" t="n"/>
      <c r="F84" s="8">
        <f>IF(A84="","",MONTH(A84))</f>
        <v/>
      </c>
      <c r="G84" s="8">
        <f>IF(F84="","",CHOOSE(F84,"Ocak","Şubat","Mart","Nisan","Mayıs","Haziran","Temmuz","Ağustos","Eylül","Ekim","Kasım","Aralık"))</f>
        <v/>
      </c>
      <c r="H84" s="9">
        <f>IF(AND(D84="",E84=""),"",D84-E84)</f>
        <v/>
      </c>
    </row>
    <row r="85">
      <c r="A85" s="5" t="n"/>
      <c r="B85" s="6" t="n"/>
      <c r="C85" s="6" t="n"/>
      <c r="D85" s="7" t="n"/>
      <c r="E85" s="7" t="n"/>
      <c r="F85" s="8">
        <f>IF(A85="","",MONTH(A85))</f>
        <v/>
      </c>
      <c r="G85" s="8">
        <f>IF(F85="","",CHOOSE(F85,"Ocak","Şubat","Mart","Nisan","Mayıs","Haziran","Temmuz","Ağustos","Eylül","Ekim","Kasım","Aralık"))</f>
        <v/>
      </c>
      <c r="H85" s="9">
        <f>IF(AND(D85="",E85=""),"",D85-E85)</f>
        <v/>
      </c>
    </row>
    <row r="86">
      <c r="A86" s="5" t="n"/>
      <c r="B86" s="6" t="n"/>
      <c r="C86" s="6" t="n"/>
      <c r="D86" s="7" t="n"/>
      <c r="E86" s="7" t="n"/>
      <c r="F86" s="8">
        <f>IF(A86="","",MONTH(A86))</f>
        <v/>
      </c>
      <c r="G86" s="8">
        <f>IF(F86="","",CHOOSE(F86,"Ocak","Şubat","Mart","Nisan","Mayıs","Haziran","Temmuz","Ağustos","Eylül","Ekim","Kasım","Aralık"))</f>
        <v/>
      </c>
      <c r="H86" s="9">
        <f>IF(AND(D86="",E86=""),"",D86-E86)</f>
        <v/>
      </c>
    </row>
    <row r="87">
      <c r="A87" s="5" t="n"/>
      <c r="B87" s="6" t="n"/>
      <c r="C87" s="6" t="n"/>
      <c r="D87" s="7" t="n"/>
      <c r="E87" s="7" t="n"/>
      <c r="F87" s="8">
        <f>IF(A87="","",MONTH(A87))</f>
        <v/>
      </c>
      <c r="G87" s="8">
        <f>IF(F87="","",CHOOSE(F87,"Ocak","Şubat","Mart","Nisan","Mayıs","Haziran","Temmuz","Ağustos","Eylül","Ekim","Kasım","Aralık"))</f>
        <v/>
      </c>
      <c r="H87" s="9">
        <f>IF(AND(D87="",E87=""),"",D87-E87)</f>
        <v/>
      </c>
    </row>
    <row r="88">
      <c r="A88" s="5" t="n"/>
      <c r="B88" s="6" t="n"/>
      <c r="C88" s="6" t="n"/>
      <c r="D88" s="7" t="n"/>
      <c r="E88" s="7" t="n"/>
      <c r="F88" s="8">
        <f>IF(A88="","",MONTH(A88))</f>
        <v/>
      </c>
      <c r="G88" s="8">
        <f>IF(F88="","",CHOOSE(F88,"Ocak","Şubat","Mart","Nisan","Mayıs","Haziran","Temmuz","Ağustos","Eylül","Ekim","Kasım","Aralık"))</f>
        <v/>
      </c>
      <c r="H88" s="9">
        <f>IF(AND(D88="",E88=""),"",D88-E88)</f>
        <v/>
      </c>
    </row>
    <row r="89">
      <c r="A89" s="5" t="n"/>
      <c r="B89" s="6" t="n"/>
      <c r="C89" s="6" t="n"/>
      <c r="D89" s="7" t="n"/>
      <c r="E89" s="7" t="n"/>
      <c r="F89" s="8">
        <f>IF(A89="","",MONTH(A89))</f>
        <v/>
      </c>
      <c r="G89" s="8">
        <f>IF(F89="","",CHOOSE(F89,"Ocak","Şubat","Mart","Nisan","Mayıs","Haziran","Temmuz","Ağustos","Eylül","Ekim","Kasım","Aralık"))</f>
        <v/>
      </c>
      <c r="H89" s="9">
        <f>IF(AND(D89="",E89=""),"",D89-E89)</f>
        <v/>
      </c>
    </row>
    <row r="90">
      <c r="A90" s="5" t="n"/>
      <c r="B90" s="6" t="n"/>
      <c r="C90" s="6" t="n"/>
      <c r="D90" s="7" t="n"/>
      <c r="E90" s="7" t="n"/>
      <c r="F90" s="8">
        <f>IF(A90="","",MONTH(A90))</f>
        <v/>
      </c>
      <c r="G90" s="8">
        <f>IF(F90="","",CHOOSE(F90,"Ocak","Şubat","Mart","Nisan","Mayıs","Haziran","Temmuz","Ağustos","Eylül","Ekim","Kasım","Aralık"))</f>
        <v/>
      </c>
      <c r="H90" s="9">
        <f>IF(AND(D90="",E90=""),"",D90-E90)</f>
        <v/>
      </c>
    </row>
    <row r="91">
      <c r="A91" s="5" t="n"/>
      <c r="B91" s="6" t="n"/>
      <c r="C91" s="6" t="n"/>
      <c r="D91" s="7" t="n"/>
      <c r="E91" s="7" t="n"/>
      <c r="F91" s="8">
        <f>IF(A91="","",MONTH(A91))</f>
        <v/>
      </c>
      <c r="G91" s="8">
        <f>IF(F91="","",CHOOSE(F91,"Ocak","Şubat","Mart","Nisan","Mayıs","Haziran","Temmuz","Ağustos","Eylül","Ekim","Kasım","Aralık"))</f>
        <v/>
      </c>
      <c r="H91" s="9">
        <f>IF(AND(D91="",E91=""),"",D91-E91)</f>
        <v/>
      </c>
    </row>
    <row r="92">
      <c r="A92" s="5" t="n"/>
      <c r="B92" s="6" t="n"/>
      <c r="C92" s="6" t="n"/>
      <c r="D92" s="7" t="n"/>
      <c r="E92" s="7" t="n"/>
      <c r="F92" s="8">
        <f>IF(A92="","",MONTH(A92))</f>
        <v/>
      </c>
      <c r="G92" s="8">
        <f>IF(F92="","",CHOOSE(F92,"Ocak","Şubat","Mart","Nisan","Mayıs","Haziran","Temmuz","Ağustos","Eylül","Ekim","Kasım","Aralık"))</f>
        <v/>
      </c>
      <c r="H92" s="9">
        <f>IF(AND(D92="",E92=""),"",D92-E92)</f>
        <v/>
      </c>
    </row>
    <row r="93">
      <c r="A93" s="5" t="n"/>
      <c r="B93" s="6" t="n"/>
      <c r="C93" s="6" t="n"/>
      <c r="D93" s="7" t="n"/>
      <c r="E93" s="7" t="n"/>
      <c r="F93" s="8">
        <f>IF(A93="","",MONTH(A93))</f>
        <v/>
      </c>
      <c r="G93" s="8">
        <f>IF(F93="","",CHOOSE(F93,"Ocak","Şubat","Mart","Nisan","Mayıs","Haziran","Temmuz","Ağustos","Eylül","Ekim","Kasım","Aralık"))</f>
        <v/>
      </c>
      <c r="H93" s="9">
        <f>IF(AND(D93="",E93=""),"",D93-E93)</f>
        <v/>
      </c>
    </row>
    <row r="94">
      <c r="A94" s="5" t="n"/>
      <c r="B94" s="6" t="n"/>
      <c r="C94" s="6" t="n"/>
      <c r="D94" s="7" t="n"/>
      <c r="E94" s="7" t="n"/>
      <c r="F94" s="8">
        <f>IF(A94="","",MONTH(A94))</f>
        <v/>
      </c>
      <c r="G94" s="8">
        <f>IF(F94="","",CHOOSE(F94,"Ocak","Şubat","Mart","Nisan","Mayıs","Haziran","Temmuz","Ağustos","Eylül","Ekim","Kasım","Aralık"))</f>
        <v/>
      </c>
      <c r="H94" s="9">
        <f>IF(AND(D94="",E94=""),"",D94-E94)</f>
        <v/>
      </c>
    </row>
    <row r="95">
      <c r="A95" s="5" t="n"/>
      <c r="B95" s="6" t="n"/>
      <c r="C95" s="6" t="n"/>
      <c r="D95" s="7" t="n"/>
      <c r="E95" s="7" t="n"/>
      <c r="F95" s="8">
        <f>IF(A95="","",MONTH(A95))</f>
        <v/>
      </c>
      <c r="G95" s="8">
        <f>IF(F95="","",CHOOSE(F95,"Ocak","Şubat","Mart","Nisan","Mayıs","Haziran","Temmuz","Ağustos","Eylül","Ekim","Kasım","Aralık"))</f>
        <v/>
      </c>
      <c r="H95" s="9">
        <f>IF(AND(D95="",E95=""),"",D95-E95)</f>
        <v/>
      </c>
    </row>
    <row r="96">
      <c r="A96" s="5" t="n"/>
      <c r="B96" s="6" t="n"/>
      <c r="C96" s="6" t="n"/>
      <c r="D96" s="7" t="n"/>
      <c r="E96" s="7" t="n"/>
      <c r="F96" s="8">
        <f>IF(A96="","",MONTH(A96))</f>
        <v/>
      </c>
      <c r="G96" s="8">
        <f>IF(F96="","",CHOOSE(F96,"Ocak","Şubat","Mart","Nisan","Mayıs","Haziran","Temmuz","Ağustos","Eylül","Ekim","Kasım","Aralık"))</f>
        <v/>
      </c>
      <c r="H96" s="9">
        <f>IF(AND(D96="",E96=""),"",D96-E96)</f>
        <v/>
      </c>
    </row>
    <row r="97">
      <c r="A97" s="5" t="n"/>
      <c r="B97" s="6" t="n"/>
      <c r="C97" s="6" t="n"/>
      <c r="D97" s="7" t="n"/>
      <c r="E97" s="7" t="n"/>
      <c r="F97" s="8">
        <f>IF(A97="","",MONTH(A97))</f>
        <v/>
      </c>
      <c r="G97" s="8">
        <f>IF(F97="","",CHOOSE(F97,"Ocak","Şubat","Mart","Nisan","Mayıs","Haziran","Temmuz","Ağustos","Eylül","Ekim","Kasım","Aralık"))</f>
        <v/>
      </c>
      <c r="H97" s="9">
        <f>IF(AND(D97="",E97=""),"",D97-E97)</f>
        <v/>
      </c>
    </row>
    <row r="98">
      <c r="A98" s="5" t="n"/>
      <c r="B98" s="6" t="n"/>
      <c r="C98" s="6" t="n"/>
      <c r="D98" s="7" t="n"/>
      <c r="E98" s="7" t="n"/>
      <c r="F98" s="8">
        <f>IF(A98="","",MONTH(A98))</f>
        <v/>
      </c>
      <c r="G98" s="8">
        <f>IF(F98="","",CHOOSE(F98,"Ocak","Şubat","Mart","Nisan","Mayıs","Haziran","Temmuz","Ağustos","Eylül","Ekim","Kasım","Aralık"))</f>
        <v/>
      </c>
      <c r="H98" s="9">
        <f>IF(AND(D98="",E98=""),"",D98-E98)</f>
        <v/>
      </c>
    </row>
    <row r="99">
      <c r="A99" s="5" t="n"/>
      <c r="B99" s="6" t="n"/>
      <c r="C99" s="6" t="n"/>
      <c r="D99" s="7" t="n"/>
      <c r="E99" s="7" t="n"/>
      <c r="F99" s="8">
        <f>IF(A99="","",MONTH(A99))</f>
        <v/>
      </c>
      <c r="G99" s="8">
        <f>IF(F99="","",CHOOSE(F99,"Ocak","Şubat","Mart","Nisan","Mayıs","Haziran","Temmuz","Ağustos","Eylül","Ekim","Kasım","Aralık"))</f>
        <v/>
      </c>
      <c r="H99" s="9">
        <f>IF(AND(D99="",E99=""),"",D99-E99)</f>
        <v/>
      </c>
    </row>
    <row r="100">
      <c r="A100" s="5" t="n"/>
      <c r="B100" s="6" t="n"/>
      <c r="C100" s="6" t="n"/>
      <c r="D100" s="7" t="n"/>
      <c r="E100" s="7" t="n"/>
      <c r="F100" s="8">
        <f>IF(A100="","",MONTH(A100))</f>
        <v/>
      </c>
      <c r="G100" s="8">
        <f>IF(F100="","",CHOOSE(F100,"Ocak","Şubat","Mart","Nisan","Mayıs","Haziran","Temmuz","Ağustos","Eylül","Ekim","Kasım","Aralık"))</f>
        <v/>
      </c>
      <c r="H100" s="9">
        <f>IF(AND(D100="",E100=""),"",D100-E100)</f>
        <v/>
      </c>
    </row>
    <row r="101">
      <c r="A101" s="5" t="n"/>
      <c r="B101" s="6" t="n"/>
      <c r="C101" s="6" t="n"/>
      <c r="D101" s="7" t="n"/>
      <c r="E101" s="7" t="n"/>
      <c r="F101" s="8">
        <f>IF(A101="","",MONTH(A101))</f>
        <v/>
      </c>
      <c r="G101" s="8">
        <f>IF(F101="","",CHOOSE(F101,"Ocak","Şubat","Mart","Nisan","Mayıs","Haziran","Temmuz","Ağustos","Eylül","Ekim","Kasım","Aralık"))</f>
        <v/>
      </c>
      <c r="H101" s="9">
        <f>IF(AND(D101="",E101=""),"",D101-E101)</f>
        <v/>
      </c>
    </row>
    <row r="102">
      <c r="A102" s="5" t="n"/>
      <c r="B102" s="6" t="n"/>
      <c r="C102" s="6" t="n"/>
      <c r="D102" s="7" t="n"/>
      <c r="E102" s="7" t="n"/>
      <c r="F102" s="8">
        <f>IF(A102="","",MONTH(A102))</f>
        <v/>
      </c>
      <c r="G102" s="8">
        <f>IF(F102="","",CHOOSE(F102,"Ocak","Şubat","Mart","Nisan","Mayıs","Haziran","Temmuz","Ağustos","Eylül","Ekim","Kasım","Aralık"))</f>
        <v/>
      </c>
      <c r="H102" s="9">
        <f>IF(AND(D102="",E102=""),"",D102-E102)</f>
        <v/>
      </c>
    </row>
    <row r="103">
      <c r="A103" s="5" t="n"/>
      <c r="B103" s="6" t="n"/>
      <c r="C103" s="6" t="n"/>
      <c r="D103" s="7" t="n"/>
      <c r="E103" s="7" t="n"/>
      <c r="F103" s="8">
        <f>IF(A103="","",MONTH(A103))</f>
        <v/>
      </c>
      <c r="G103" s="8">
        <f>IF(F103="","",CHOOSE(F103,"Ocak","Şubat","Mart","Nisan","Mayıs","Haziran","Temmuz","Ağustos","Eylül","Ekim","Kasım","Aralık"))</f>
        <v/>
      </c>
      <c r="H103" s="9">
        <f>IF(AND(D103="",E103=""),"",D103-E103)</f>
        <v/>
      </c>
    </row>
    <row r="104">
      <c r="A104" s="5" t="n"/>
      <c r="B104" s="6" t="n"/>
      <c r="C104" s="6" t="n"/>
      <c r="D104" s="7" t="n"/>
      <c r="E104" s="7" t="n"/>
      <c r="F104" s="8">
        <f>IF(A104="","",MONTH(A104))</f>
        <v/>
      </c>
      <c r="G104" s="8">
        <f>IF(F104="","",CHOOSE(F104,"Ocak","Şubat","Mart","Nisan","Mayıs","Haziran","Temmuz","Ağustos","Eylül","Ekim","Kasım","Aralık"))</f>
        <v/>
      </c>
      <c r="H104" s="9">
        <f>IF(AND(D104="",E104=""),"",D104-E104)</f>
        <v/>
      </c>
    </row>
    <row r="105">
      <c r="A105" s="5" t="n"/>
      <c r="B105" s="6" t="n"/>
      <c r="C105" s="6" t="n"/>
      <c r="D105" s="7" t="n"/>
      <c r="E105" s="7" t="n"/>
      <c r="F105" s="8">
        <f>IF(A105="","",MONTH(A105))</f>
        <v/>
      </c>
      <c r="G105" s="8">
        <f>IF(F105="","",CHOOSE(F105,"Ocak","Şubat","Mart","Nisan","Mayıs","Haziran","Temmuz","Ağustos","Eylül","Ekim","Kasım","Aralık"))</f>
        <v/>
      </c>
      <c r="H105" s="9">
        <f>IF(AND(D105="",E105=""),"",D105-E105)</f>
        <v/>
      </c>
    </row>
    <row r="106">
      <c r="A106" s="5" t="n"/>
      <c r="B106" s="6" t="n"/>
      <c r="C106" s="6" t="n"/>
      <c r="D106" s="7" t="n"/>
      <c r="E106" s="7" t="n"/>
      <c r="F106" s="8">
        <f>IF(A106="","",MONTH(A106))</f>
        <v/>
      </c>
      <c r="G106" s="8">
        <f>IF(F106="","",CHOOSE(F106,"Ocak","Şubat","Mart","Nisan","Mayıs","Haziran","Temmuz","Ağustos","Eylül","Ekim","Kasım","Aralık"))</f>
        <v/>
      </c>
      <c r="H106" s="9">
        <f>IF(AND(D106="",E106=""),"",D106-E106)</f>
        <v/>
      </c>
    </row>
    <row r="107">
      <c r="A107" s="5" t="n"/>
      <c r="B107" s="6" t="n"/>
      <c r="C107" s="6" t="n"/>
      <c r="D107" s="7" t="n"/>
      <c r="E107" s="7" t="n"/>
      <c r="F107" s="8">
        <f>IF(A107="","",MONTH(A107))</f>
        <v/>
      </c>
      <c r="G107" s="8">
        <f>IF(F107="","",CHOOSE(F107,"Ocak","Şubat","Mart","Nisan","Mayıs","Haziran","Temmuz","Ağustos","Eylül","Ekim","Kasım","Aralık"))</f>
        <v/>
      </c>
      <c r="H107" s="9">
        <f>IF(AND(D107="",E107=""),"",D107-E107)</f>
        <v/>
      </c>
    </row>
    <row r="108">
      <c r="A108" s="5" t="n"/>
      <c r="B108" s="6" t="n"/>
      <c r="C108" s="6" t="n"/>
      <c r="D108" s="7" t="n"/>
      <c r="E108" s="7" t="n"/>
      <c r="F108" s="8">
        <f>IF(A108="","",MONTH(A108))</f>
        <v/>
      </c>
      <c r="G108" s="8">
        <f>IF(F108="","",CHOOSE(F108,"Ocak","Şubat","Mart","Nisan","Mayıs","Haziran","Temmuz","Ağustos","Eylül","Ekim","Kasım","Aralık"))</f>
        <v/>
      </c>
      <c r="H108" s="9">
        <f>IF(AND(D108="",E108=""),"",D108-E108)</f>
        <v/>
      </c>
    </row>
    <row r="109">
      <c r="A109" s="5" t="n"/>
      <c r="B109" s="6" t="n"/>
      <c r="C109" s="6" t="n"/>
      <c r="D109" s="7" t="n"/>
      <c r="E109" s="7" t="n"/>
      <c r="F109" s="8">
        <f>IF(A109="","",MONTH(A109))</f>
        <v/>
      </c>
      <c r="G109" s="8">
        <f>IF(F109="","",CHOOSE(F109,"Ocak","Şubat","Mart","Nisan","Mayıs","Haziran","Temmuz","Ağustos","Eylül","Ekim","Kasım","Aralık"))</f>
        <v/>
      </c>
      <c r="H109" s="9">
        <f>IF(AND(D109="",E109=""),"",D109-E109)</f>
        <v/>
      </c>
    </row>
    <row r="110">
      <c r="A110" s="5" t="n"/>
      <c r="B110" s="6" t="n"/>
      <c r="C110" s="6" t="n"/>
      <c r="D110" s="7" t="n"/>
      <c r="E110" s="7" t="n"/>
      <c r="F110" s="8">
        <f>IF(A110="","",MONTH(A110))</f>
        <v/>
      </c>
      <c r="G110" s="8">
        <f>IF(F110="","",CHOOSE(F110,"Ocak","Şubat","Mart","Nisan","Mayıs","Haziran","Temmuz","Ağustos","Eylül","Ekim","Kasım","Aralık"))</f>
        <v/>
      </c>
      <c r="H110" s="9">
        <f>IF(AND(D110="",E110=""),"",D110-E110)</f>
        <v/>
      </c>
    </row>
    <row r="111">
      <c r="A111" s="5" t="n"/>
      <c r="B111" s="6" t="n"/>
      <c r="C111" s="6" t="n"/>
      <c r="D111" s="7" t="n"/>
      <c r="E111" s="7" t="n"/>
      <c r="F111" s="8">
        <f>IF(A111="","",MONTH(A111))</f>
        <v/>
      </c>
      <c r="G111" s="8">
        <f>IF(F111="","",CHOOSE(F111,"Ocak","Şubat","Mart","Nisan","Mayıs","Haziran","Temmuz","Ağustos","Eylül","Ekim","Kasım","Aralık"))</f>
        <v/>
      </c>
      <c r="H111" s="9">
        <f>IF(AND(D111="",E111=""),"",D111-E111)</f>
        <v/>
      </c>
    </row>
    <row r="112">
      <c r="A112" s="5" t="n"/>
      <c r="B112" s="6" t="n"/>
      <c r="C112" s="6" t="n"/>
      <c r="D112" s="7" t="n"/>
      <c r="E112" s="7" t="n"/>
      <c r="F112" s="8">
        <f>IF(A112="","",MONTH(A112))</f>
        <v/>
      </c>
      <c r="G112" s="8">
        <f>IF(F112="","",CHOOSE(F112,"Ocak","Şubat","Mart","Nisan","Mayıs","Haziran","Temmuz","Ağustos","Eylül","Ekim","Kasım","Aralık"))</f>
        <v/>
      </c>
      <c r="H112" s="9">
        <f>IF(AND(D112="",E112=""),"",D112-E112)</f>
        <v/>
      </c>
    </row>
    <row r="113">
      <c r="A113" s="5" t="n"/>
      <c r="B113" s="6" t="n"/>
      <c r="C113" s="6" t="n"/>
      <c r="D113" s="7" t="n"/>
      <c r="E113" s="7" t="n"/>
      <c r="F113" s="8">
        <f>IF(A113="","",MONTH(A113))</f>
        <v/>
      </c>
      <c r="G113" s="8">
        <f>IF(F113="","",CHOOSE(F113,"Ocak","Şubat","Mart","Nisan","Mayıs","Haziran","Temmuz","Ağustos","Eylül","Ekim","Kasım","Aralık"))</f>
        <v/>
      </c>
      <c r="H113" s="9">
        <f>IF(AND(D113="",E113=""),"",D113-E113)</f>
        <v/>
      </c>
    </row>
    <row r="114">
      <c r="A114" s="5" t="n"/>
      <c r="B114" s="6" t="n"/>
      <c r="C114" s="6" t="n"/>
      <c r="D114" s="7" t="n"/>
      <c r="E114" s="7" t="n"/>
      <c r="F114" s="8">
        <f>IF(A114="","",MONTH(A114))</f>
        <v/>
      </c>
      <c r="G114" s="8">
        <f>IF(F114="","",CHOOSE(F114,"Ocak","Şubat","Mart","Nisan","Mayıs","Haziran","Temmuz","Ağustos","Eylül","Ekim","Kasım","Aralık"))</f>
        <v/>
      </c>
      <c r="H114" s="9">
        <f>IF(AND(D114="",E114=""),"",D114-E114)</f>
        <v/>
      </c>
    </row>
    <row r="115">
      <c r="A115" s="5" t="n"/>
      <c r="B115" s="6" t="n"/>
      <c r="C115" s="6" t="n"/>
      <c r="D115" s="7" t="n"/>
      <c r="E115" s="7" t="n"/>
      <c r="F115" s="8">
        <f>IF(A115="","",MONTH(A115))</f>
        <v/>
      </c>
      <c r="G115" s="8">
        <f>IF(F115="","",CHOOSE(F115,"Ocak","Şubat","Mart","Nisan","Mayıs","Haziran","Temmuz","Ağustos","Eylül","Ekim","Kasım","Aralık"))</f>
        <v/>
      </c>
      <c r="H115" s="9">
        <f>IF(AND(D115="",E115=""),"",D115-E115)</f>
        <v/>
      </c>
    </row>
    <row r="116">
      <c r="A116" s="5" t="n"/>
      <c r="B116" s="6" t="n"/>
      <c r="C116" s="6" t="n"/>
      <c r="D116" s="7" t="n"/>
      <c r="E116" s="7" t="n"/>
      <c r="F116" s="8">
        <f>IF(A116="","",MONTH(A116))</f>
        <v/>
      </c>
      <c r="G116" s="8">
        <f>IF(F116="","",CHOOSE(F116,"Ocak","Şubat","Mart","Nisan","Mayıs","Haziran","Temmuz","Ağustos","Eylül","Ekim","Kasım","Aralık"))</f>
        <v/>
      </c>
      <c r="H116" s="9">
        <f>IF(AND(D116="",E116=""),"",D116-E116)</f>
        <v/>
      </c>
    </row>
    <row r="117">
      <c r="A117" s="5" t="n"/>
      <c r="B117" s="6" t="n"/>
      <c r="C117" s="6" t="n"/>
      <c r="D117" s="7" t="n"/>
      <c r="E117" s="7" t="n"/>
      <c r="F117" s="8">
        <f>IF(A117="","",MONTH(A117))</f>
        <v/>
      </c>
      <c r="G117" s="8">
        <f>IF(F117="","",CHOOSE(F117,"Ocak","Şubat","Mart","Nisan","Mayıs","Haziran","Temmuz","Ağustos","Eylül","Ekim","Kasım","Aralık"))</f>
        <v/>
      </c>
      <c r="H117" s="9">
        <f>IF(AND(D117="",E117=""),"",D117-E117)</f>
        <v/>
      </c>
    </row>
    <row r="118">
      <c r="A118" s="5" t="n"/>
      <c r="B118" s="6" t="n"/>
      <c r="C118" s="6" t="n"/>
      <c r="D118" s="7" t="n"/>
      <c r="E118" s="7" t="n"/>
      <c r="F118" s="8">
        <f>IF(A118="","",MONTH(A118))</f>
        <v/>
      </c>
      <c r="G118" s="8">
        <f>IF(F118="","",CHOOSE(F118,"Ocak","Şubat","Mart","Nisan","Mayıs","Haziran","Temmuz","Ağustos","Eylül","Ekim","Kasım","Aralık"))</f>
        <v/>
      </c>
      <c r="H118" s="9">
        <f>IF(AND(D118="",E118=""),"",D118-E118)</f>
        <v/>
      </c>
    </row>
    <row r="119">
      <c r="A119" s="5" t="n"/>
      <c r="B119" s="6" t="n"/>
      <c r="C119" s="6" t="n"/>
      <c r="D119" s="7" t="n"/>
      <c r="E119" s="7" t="n"/>
      <c r="F119" s="8">
        <f>IF(A119="","",MONTH(A119))</f>
        <v/>
      </c>
      <c r="G119" s="8">
        <f>IF(F119="","",CHOOSE(F119,"Ocak","Şubat","Mart","Nisan","Mayıs","Haziran","Temmuz","Ağustos","Eylül","Ekim","Kasım","Aralık"))</f>
        <v/>
      </c>
      <c r="H119" s="9">
        <f>IF(AND(D119="",E119=""),"",D119-E119)</f>
        <v/>
      </c>
    </row>
    <row r="120">
      <c r="A120" s="5" t="n"/>
      <c r="B120" s="6" t="n"/>
      <c r="C120" s="6" t="n"/>
      <c r="D120" s="7" t="n"/>
      <c r="E120" s="7" t="n"/>
      <c r="F120" s="8">
        <f>IF(A120="","",MONTH(A120))</f>
        <v/>
      </c>
      <c r="G120" s="8">
        <f>IF(F120="","",CHOOSE(F120,"Ocak","Şubat","Mart","Nisan","Mayıs","Haziran","Temmuz","Ağustos","Eylül","Ekim","Kasım","Aralık"))</f>
        <v/>
      </c>
      <c r="H120" s="9">
        <f>IF(AND(D120="",E120=""),"",D120-E120)</f>
        <v/>
      </c>
    </row>
    <row r="121">
      <c r="A121" s="5" t="n"/>
      <c r="B121" s="6" t="n"/>
      <c r="C121" s="6" t="n"/>
      <c r="D121" s="7" t="n"/>
      <c r="E121" s="7" t="n"/>
      <c r="F121" s="8">
        <f>IF(A121="","",MONTH(A121))</f>
        <v/>
      </c>
      <c r="G121" s="8">
        <f>IF(F121="","",CHOOSE(F121,"Ocak","Şubat","Mart","Nisan","Mayıs","Haziran","Temmuz","Ağustos","Eylül","Ekim","Kasım","Aralık"))</f>
        <v/>
      </c>
      <c r="H121" s="9">
        <f>IF(AND(D121="",E121=""),"",D121-E121)</f>
        <v/>
      </c>
    </row>
    <row r="122">
      <c r="A122" s="5" t="n"/>
      <c r="B122" s="6" t="n"/>
      <c r="C122" s="6" t="n"/>
      <c r="D122" s="7" t="n"/>
      <c r="E122" s="7" t="n"/>
      <c r="F122" s="8">
        <f>IF(A122="","",MONTH(A122))</f>
        <v/>
      </c>
      <c r="G122" s="8">
        <f>IF(F122="","",CHOOSE(F122,"Ocak","Şubat","Mart","Nisan","Mayıs","Haziran","Temmuz","Ağustos","Eylül","Ekim","Kasım","Aralık"))</f>
        <v/>
      </c>
      <c r="H122" s="9">
        <f>IF(AND(D122="",E122=""),"",D122-E122)</f>
        <v/>
      </c>
    </row>
    <row r="123">
      <c r="A123" s="5" t="n"/>
      <c r="B123" s="6" t="n"/>
      <c r="C123" s="6" t="n"/>
      <c r="D123" s="7" t="n"/>
      <c r="E123" s="7" t="n"/>
      <c r="F123" s="8">
        <f>IF(A123="","",MONTH(A123))</f>
        <v/>
      </c>
      <c r="G123" s="8">
        <f>IF(F123="","",CHOOSE(F123,"Ocak","Şubat","Mart","Nisan","Mayıs","Haziran","Temmuz","Ağustos","Eylül","Ekim","Kasım","Aralık"))</f>
        <v/>
      </c>
      <c r="H123" s="9">
        <f>IF(AND(D123="",E123=""),"",D123-E123)</f>
        <v/>
      </c>
    </row>
    <row r="124">
      <c r="A124" s="5" t="n"/>
      <c r="B124" s="6" t="n"/>
      <c r="C124" s="6" t="n"/>
      <c r="D124" s="7" t="n"/>
      <c r="E124" s="7" t="n"/>
      <c r="F124" s="8">
        <f>IF(A124="","",MONTH(A124))</f>
        <v/>
      </c>
      <c r="G124" s="8">
        <f>IF(F124="","",CHOOSE(F124,"Ocak","Şubat","Mart","Nisan","Mayıs","Haziran","Temmuz","Ağustos","Eylül","Ekim","Kasım","Aralık"))</f>
        <v/>
      </c>
      <c r="H124" s="9">
        <f>IF(AND(D124="",E124=""),"",D124-E124)</f>
        <v/>
      </c>
    </row>
    <row r="125">
      <c r="A125" s="5" t="n"/>
      <c r="B125" s="6" t="n"/>
      <c r="C125" s="6" t="n"/>
      <c r="D125" s="7" t="n"/>
      <c r="E125" s="7" t="n"/>
      <c r="F125" s="8">
        <f>IF(A125="","",MONTH(A125))</f>
        <v/>
      </c>
      <c r="G125" s="8">
        <f>IF(F125="","",CHOOSE(F125,"Ocak","Şubat","Mart","Nisan","Mayıs","Haziran","Temmuz","Ağustos","Eylül","Ekim","Kasım","Aralık"))</f>
        <v/>
      </c>
      <c r="H125" s="9">
        <f>IF(AND(D125="",E125=""),"",D125-E125)</f>
        <v/>
      </c>
    </row>
    <row r="126">
      <c r="A126" s="5" t="n"/>
      <c r="B126" s="6" t="n"/>
      <c r="C126" s="6" t="n"/>
      <c r="D126" s="7" t="n"/>
      <c r="E126" s="7" t="n"/>
      <c r="F126" s="8">
        <f>IF(A126="","",MONTH(A126))</f>
        <v/>
      </c>
      <c r="G126" s="8">
        <f>IF(F126="","",CHOOSE(F126,"Ocak","Şubat","Mart","Nisan","Mayıs","Haziran","Temmuz","Ağustos","Eylül","Ekim","Kasım","Aralık"))</f>
        <v/>
      </c>
      <c r="H126" s="9">
        <f>IF(AND(D126="",E126=""),"",D126-E126)</f>
        <v/>
      </c>
    </row>
    <row r="127">
      <c r="A127" s="5" t="n"/>
      <c r="B127" s="6" t="n"/>
      <c r="C127" s="6" t="n"/>
      <c r="D127" s="7" t="n"/>
      <c r="E127" s="7" t="n"/>
      <c r="F127" s="8">
        <f>IF(A127="","",MONTH(A127))</f>
        <v/>
      </c>
      <c r="G127" s="8">
        <f>IF(F127="","",CHOOSE(F127,"Ocak","Şubat","Mart","Nisan","Mayıs","Haziran","Temmuz","Ağustos","Eylül","Ekim","Kasım","Aralık"))</f>
        <v/>
      </c>
      <c r="H127" s="9">
        <f>IF(AND(D127="",E127=""),"",D127-E127)</f>
        <v/>
      </c>
    </row>
    <row r="128">
      <c r="A128" s="5" t="n"/>
      <c r="B128" s="6" t="n"/>
      <c r="C128" s="6" t="n"/>
      <c r="D128" s="7" t="n"/>
      <c r="E128" s="7" t="n"/>
      <c r="F128" s="8">
        <f>IF(A128="","",MONTH(A128))</f>
        <v/>
      </c>
      <c r="G128" s="8">
        <f>IF(F128="","",CHOOSE(F128,"Ocak","Şubat","Mart","Nisan","Mayıs","Haziran","Temmuz","Ağustos","Eylül","Ekim","Kasım","Aralık"))</f>
        <v/>
      </c>
      <c r="H128" s="9">
        <f>IF(AND(D128="",E128=""),"",D128-E128)</f>
        <v/>
      </c>
    </row>
    <row r="129">
      <c r="A129" s="5" t="n"/>
      <c r="B129" s="6" t="n"/>
      <c r="C129" s="6" t="n"/>
      <c r="D129" s="7" t="n"/>
      <c r="E129" s="7" t="n"/>
      <c r="F129" s="8">
        <f>IF(A129="","",MONTH(A129))</f>
        <v/>
      </c>
      <c r="G129" s="8">
        <f>IF(F129="","",CHOOSE(F129,"Ocak","Şubat","Mart","Nisan","Mayıs","Haziran","Temmuz","Ağustos","Eylül","Ekim","Kasım","Aralık"))</f>
        <v/>
      </c>
      <c r="H129" s="9">
        <f>IF(AND(D129="",E129=""),"",D129-E129)</f>
        <v/>
      </c>
    </row>
    <row r="130">
      <c r="A130" s="5" t="n"/>
      <c r="B130" s="6" t="n"/>
      <c r="C130" s="6" t="n"/>
      <c r="D130" s="7" t="n"/>
      <c r="E130" s="7" t="n"/>
      <c r="F130" s="8">
        <f>IF(A130="","",MONTH(A130))</f>
        <v/>
      </c>
      <c r="G130" s="8">
        <f>IF(F130="","",CHOOSE(F130,"Ocak","Şubat","Mart","Nisan","Mayıs","Haziran","Temmuz","Ağustos","Eylül","Ekim","Kasım","Aralık"))</f>
        <v/>
      </c>
      <c r="H130" s="9">
        <f>IF(AND(D130="",E130=""),"",D130-E130)</f>
        <v/>
      </c>
    </row>
    <row r="131">
      <c r="A131" s="5" t="n"/>
      <c r="B131" s="6" t="n"/>
      <c r="C131" s="6" t="n"/>
      <c r="D131" s="7" t="n"/>
      <c r="E131" s="7" t="n"/>
      <c r="F131" s="8">
        <f>IF(A131="","",MONTH(A131))</f>
        <v/>
      </c>
      <c r="G131" s="8">
        <f>IF(F131="","",CHOOSE(F131,"Ocak","Şubat","Mart","Nisan","Mayıs","Haziran","Temmuz","Ağustos","Eylül","Ekim","Kasım","Aralık"))</f>
        <v/>
      </c>
      <c r="H131" s="9">
        <f>IF(AND(D131="",E131=""),"",D131-E131)</f>
        <v/>
      </c>
    </row>
    <row r="132">
      <c r="A132" s="5" t="n"/>
      <c r="B132" s="6" t="n"/>
      <c r="C132" s="6" t="n"/>
      <c r="D132" s="7" t="n"/>
      <c r="E132" s="7" t="n"/>
      <c r="F132" s="8">
        <f>IF(A132="","",MONTH(A132))</f>
        <v/>
      </c>
      <c r="G132" s="8">
        <f>IF(F132="","",CHOOSE(F132,"Ocak","Şubat","Mart","Nisan","Mayıs","Haziran","Temmuz","Ağustos","Eylül","Ekim","Kasım","Aralık"))</f>
        <v/>
      </c>
      <c r="H132" s="9">
        <f>IF(AND(D132="",E132=""),"",D132-E132)</f>
        <v/>
      </c>
    </row>
    <row r="133">
      <c r="A133" s="5" t="n"/>
      <c r="B133" s="6" t="n"/>
      <c r="C133" s="6" t="n"/>
      <c r="D133" s="7" t="n"/>
      <c r="E133" s="7" t="n"/>
      <c r="F133" s="8">
        <f>IF(A133="","",MONTH(A133))</f>
        <v/>
      </c>
      <c r="G133" s="8">
        <f>IF(F133="","",CHOOSE(F133,"Ocak","Şubat","Mart","Nisan","Mayıs","Haziran","Temmuz","Ağustos","Eylül","Ekim","Kasım","Aralık"))</f>
        <v/>
      </c>
      <c r="H133" s="9">
        <f>IF(AND(D133="",E133=""),"",D133-E133)</f>
        <v/>
      </c>
    </row>
    <row r="134">
      <c r="A134" s="5" t="n"/>
      <c r="B134" s="6" t="n"/>
      <c r="C134" s="6" t="n"/>
      <c r="D134" s="7" t="n"/>
      <c r="E134" s="7" t="n"/>
      <c r="F134" s="8">
        <f>IF(A134="","",MONTH(A134))</f>
        <v/>
      </c>
      <c r="G134" s="8">
        <f>IF(F134="","",CHOOSE(F134,"Ocak","Şubat","Mart","Nisan","Mayıs","Haziran","Temmuz","Ağustos","Eylül","Ekim","Kasım","Aralık"))</f>
        <v/>
      </c>
      <c r="H134" s="9">
        <f>IF(AND(D134="",E134=""),"",D134-E134)</f>
        <v/>
      </c>
    </row>
    <row r="135">
      <c r="A135" s="5" t="n"/>
      <c r="B135" s="6" t="n"/>
      <c r="C135" s="6" t="n"/>
      <c r="D135" s="7" t="n"/>
      <c r="E135" s="7" t="n"/>
      <c r="F135" s="8">
        <f>IF(A135="","",MONTH(A135))</f>
        <v/>
      </c>
      <c r="G135" s="8">
        <f>IF(F135="","",CHOOSE(F135,"Ocak","Şubat","Mart","Nisan","Mayıs","Haziran","Temmuz","Ağustos","Eylül","Ekim","Kasım","Aralık"))</f>
        <v/>
      </c>
      <c r="H135" s="9">
        <f>IF(AND(D135="",E135=""),"",D135-E135)</f>
        <v/>
      </c>
    </row>
    <row r="136">
      <c r="A136" s="5" t="n"/>
      <c r="B136" s="6" t="n"/>
      <c r="C136" s="6" t="n"/>
      <c r="D136" s="7" t="n"/>
      <c r="E136" s="7" t="n"/>
      <c r="F136" s="8">
        <f>IF(A136="","",MONTH(A136))</f>
        <v/>
      </c>
      <c r="G136" s="8">
        <f>IF(F136="","",CHOOSE(F136,"Ocak","Şubat","Mart","Nisan","Mayıs","Haziran","Temmuz","Ağustos","Eylül","Ekim","Kasım","Aralık"))</f>
        <v/>
      </c>
      <c r="H136" s="9">
        <f>IF(AND(D136="",E136=""),"",D136-E136)</f>
        <v/>
      </c>
    </row>
    <row r="137">
      <c r="A137" s="5" t="n"/>
      <c r="B137" s="6" t="n"/>
      <c r="C137" s="6" t="n"/>
      <c r="D137" s="7" t="n"/>
      <c r="E137" s="7" t="n"/>
      <c r="F137" s="8">
        <f>IF(A137="","",MONTH(A137))</f>
        <v/>
      </c>
      <c r="G137" s="8">
        <f>IF(F137="","",CHOOSE(F137,"Ocak","Şubat","Mart","Nisan","Mayıs","Haziran","Temmuz","Ağustos","Eylül","Ekim","Kasım","Aralık"))</f>
        <v/>
      </c>
      <c r="H137" s="9">
        <f>IF(AND(D137="",E137=""),"",D137-E137)</f>
        <v/>
      </c>
    </row>
    <row r="138">
      <c r="A138" s="5" t="n"/>
      <c r="B138" s="6" t="n"/>
      <c r="C138" s="6" t="n"/>
      <c r="D138" s="7" t="n"/>
      <c r="E138" s="7" t="n"/>
      <c r="F138" s="8">
        <f>IF(A138="","",MONTH(A138))</f>
        <v/>
      </c>
      <c r="G138" s="8">
        <f>IF(F138="","",CHOOSE(F138,"Ocak","Şubat","Mart","Nisan","Mayıs","Haziran","Temmuz","Ağustos","Eylül","Ekim","Kasım","Aralık"))</f>
        <v/>
      </c>
      <c r="H138" s="9">
        <f>IF(AND(D138="",E138=""),"",D138-E138)</f>
        <v/>
      </c>
    </row>
    <row r="139">
      <c r="A139" s="5" t="n"/>
      <c r="B139" s="6" t="n"/>
      <c r="C139" s="6" t="n"/>
      <c r="D139" s="7" t="n"/>
      <c r="E139" s="7" t="n"/>
      <c r="F139" s="8">
        <f>IF(A139="","",MONTH(A139))</f>
        <v/>
      </c>
      <c r="G139" s="8">
        <f>IF(F139="","",CHOOSE(F139,"Ocak","Şubat","Mart","Nisan","Mayıs","Haziran","Temmuz","Ağustos","Eylül","Ekim","Kasım","Aralık"))</f>
        <v/>
      </c>
      <c r="H139" s="9">
        <f>IF(AND(D139="",E139=""),"",D139-E139)</f>
        <v/>
      </c>
    </row>
    <row r="140">
      <c r="A140" s="5" t="n"/>
      <c r="B140" s="6" t="n"/>
      <c r="C140" s="6" t="n"/>
      <c r="D140" s="7" t="n"/>
      <c r="E140" s="7" t="n"/>
      <c r="F140" s="8">
        <f>IF(A140="","",MONTH(A140))</f>
        <v/>
      </c>
      <c r="G140" s="8">
        <f>IF(F140="","",CHOOSE(F140,"Ocak","Şubat","Mart","Nisan","Mayıs","Haziran","Temmuz","Ağustos","Eylül","Ekim","Kasım","Aralık"))</f>
        <v/>
      </c>
      <c r="H140" s="9">
        <f>IF(AND(D140="",E140=""),"",D140-E140)</f>
        <v/>
      </c>
    </row>
    <row r="141">
      <c r="A141" s="5" t="n"/>
      <c r="B141" s="6" t="n"/>
      <c r="C141" s="6" t="n"/>
      <c r="D141" s="7" t="n"/>
      <c r="E141" s="7" t="n"/>
      <c r="F141" s="8">
        <f>IF(A141="","",MONTH(A141))</f>
        <v/>
      </c>
      <c r="G141" s="8">
        <f>IF(F141="","",CHOOSE(F141,"Ocak","Şubat","Mart","Nisan","Mayıs","Haziran","Temmuz","Ağustos","Eylül","Ekim","Kasım","Aralık"))</f>
        <v/>
      </c>
      <c r="H141" s="9">
        <f>IF(AND(D141="",E141=""),"",D141-E141)</f>
        <v/>
      </c>
    </row>
    <row r="142">
      <c r="A142" s="5" t="n"/>
      <c r="B142" s="6" t="n"/>
      <c r="C142" s="6" t="n"/>
      <c r="D142" s="7" t="n"/>
      <c r="E142" s="7" t="n"/>
      <c r="F142" s="8">
        <f>IF(A142="","",MONTH(A142))</f>
        <v/>
      </c>
      <c r="G142" s="8">
        <f>IF(F142="","",CHOOSE(F142,"Ocak","Şubat","Mart","Nisan","Mayıs","Haziran","Temmuz","Ağustos","Eylül","Ekim","Kasım","Aralık"))</f>
        <v/>
      </c>
      <c r="H142" s="9">
        <f>IF(AND(D142="",E142=""),"",D142-E142)</f>
        <v/>
      </c>
    </row>
    <row r="143">
      <c r="A143" s="5" t="n"/>
      <c r="B143" s="6" t="n"/>
      <c r="C143" s="6" t="n"/>
      <c r="D143" s="7" t="n"/>
      <c r="E143" s="7" t="n"/>
      <c r="F143" s="8">
        <f>IF(A143="","",MONTH(A143))</f>
        <v/>
      </c>
      <c r="G143" s="8">
        <f>IF(F143="","",CHOOSE(F143,"Ocak","Şubat","Mart","Nisan","Mayıs","Haziran","Temmuz","Ağustos","Eylül","Ekim","Kasım","Aralık"))</f>
        <v/>
      </c>
      <c r="H143" s="9">
        <f>IF(AND(D143="",E143=""),"",D143-E143)</f>
        <v/>
      </c>
    </row>
    <row r="144">
      <c r="A144" s="5" t="n"/>
      <c r="B144" s="6" t="n"/>
      <c r="C144" s="6" t="n"/>
      <c r="D144" s="7" t="n"/>
      <c r="E144" s="7" t="n"/>
      <c r="F144" s="8">
        <f>IF(A144="","",MONTH(A144))</f>
        <v/>
      </c>
      <c r="G144" s="8">
        <f>IF(F144="","",CHOOSE(F144,"Ocak","Şubat","Mart","Nisan","Mayıs","Haziran","Temmuz","Ağustos","Eylül","Ekim","Kasım","Aralık"))</f>
        <v/>
      </c>
      <c r="H144" s="9">
        <f>IF(AND(D144="",E144=""),"",D144-E144)</f>
        <v/>
      </c>
    </row>
    <row r="145">
      <c r="A145" s="5" t="n"/>
      <c r="B145" s="6" t="n"/>
      <c r="C145" s="6" t="n"/>
      <c r="D145" s="7" t="n"/>
      <c r="E145" s="7" t="n"/>
      <c r="F145" s="8">
        <f>IF(A145="","",MONTH(A145))</f>
        <v/>
      </c>
      <c r="G145" s="8">
        <f>IF(F145="","",CHOOSE(F145,"Ocak","Şubat","Mart","Nisan","Mayıs","Haziran","Temmuz","Ağustos","Eylül","Ekim","Kasım","Aralık"))</f>
        <v/>
      </c>
      <c r="H145" s="9">
        <f>IF(AND(D145="",E145=""),"",D145-E145)</f>
        <v/>
      </c>
    </row>
    <row r="146">
      <c r="A146" s="5" t="n"/>
      <c r="B146" s="6" t="n"/>
      <c r="C146" s="6" t="n"/>
      <c r="D146" s="7" t="n"/>
      <c r="E146" s="7" t="n"/>
      <c r="F146" s="8">
        <f>IF(A146="","",MONTH(A146))</f>
        <v/>
      </c>
      <c r="G146" s="8">
        <f>IF(F146="","",CHOOSE(F146,"Ocak","Şubat","Mart","Nisan","Mayıs","Haziran","Temmuz","Ağustos","Eylül","Ekim","Kasım","Aralık"))</f>
        <v/>
      </c>
      <c r="H146" s="9">
        <f>IF(AND(D146="",E146=""),"",D146-E146)</f>
        <v/>
      </c>
    </row>
    <row r="147">
      <c r="A147" s="5" t="n"/>
      <c r="B147" s="6" t="n"/>
      <c r="C147" s="6" t="n"/>
      <c r="D147" s="7" t="n"/>
      <c r="E147" s="7" t="n"/>
      <c r="F147" s="8">
        <f>IF(A147="","",MONTH(A147))</f>
        <v/>
      </c>
      <c r="G147" s="8">
        <f>IF(F147="","",CHOOSE(F147,"Ocak","Şubat","Mart","Nisan","Mayıs","Haziran","Temmuz","Ağustos","Eylül","Ekim","Kasım","Aralık"))</f>
        <v/>
      </c>
      <c r="H147" s="9">
        <f>IF(AND(D147="",E147=""),"",D147-E147)</f>
        <v/>
      </c>
    </row>
    <row r="148">
      <c r="A148" s="5" t="n"/>
      <c r="B148" s="6" t="n"/>
      <c r="C148" s="6" t="n"/>
      <c r="D148" s="7" t="n"/>
      <c r="E148" s="7" t="n"/>
      <c r="F148" s="8">
        <f>IF(A148="","",MONTH(A148))</f>
        <v/>
      </c>
      <c r="G148" s="8">
        <f>IF(F148="","",CHOOSE(F148,"Ocak","Şubat","Mart","Nisan","Mayıs","Haziran","Temmuz","Ağustos","Eylül","Ekim","Kasım","Aralık"))</f>
        <v/>
      </c>
      <c r="H148" s="9">
        <f>IF(AND(D148="",E148=""),"",D148-E148)</f>
        <v/>
      </c>
    </row>
    <row r="149">
      <c r="A149" s="5" t="n"/>
      <c r="B149" s="6" t="n"/>
      <c r="C149" s="6" t="n"/>
      <c r="D149" s="7" t="n"/>
      <c r="E149" s="7" t="n"/>
      <c r="F149" s="8">
        <f>IF(A149="","",MONTH(A149))</f>
        <v/>
      </c>
      <c r="G149" s="8">
        <f>IF(F149="","",CHOOSE(F149,"Ocak","Şubat","Mart","Nisan","Mayıs","Haziran","Temmuz","Ağustos","Eylül","Ekim","Kasım","Aralık"))</f>
        <v/>
      </c>
      <c r="H149" s="9">
        <f>IF(AND(D149="",E149=""),"",D149-E149)</f>
        <v/>
      </c>
    </row>
    <row r="150">
      <c r="A150" s="5" t="n"/>
      <c r="B150" s="6" t="n"/>
      <c r="C150" s="6" t="n"/>
      <c r="D150" s="7" t="n"/>
      <c r="E150" s="7" t="n"/>
      <c r="F150" s="8">
        <f>IF(A150="","",MONTH(A150))</f>
        <v/>
      </c>
      <c r="G150" s="8">
        <f>IF(F150="","",CHOOSE(F150,"Ocak","Şubat","Mart","Nisan","Mayıs","Haziran","Temmuz","Ağustos","Eylül","Ekim","Kasım","Aralık"))</f>
        <v/>
      </c>
      <c r="H150" s="9">
        <f>IF(AND(D150="",E150=""),"",D150-E150)</f>
        <v/>
      </c>
    </row>
    <row r="151">
      <c r="A151" s="5" t="n"/>
      <c r="B151" s="6" t="n"/>
      <c r="C151" s="6" t="n"/>
      <c r="D151" s="7" t="n"/>
      <c r="E151" s="7" t="n"/>
      <c r="F151" s="8">
        <f>IF(A151="","",MONTH(A151))</f>
        <v/>
      </c>
      <c r="G151" s="8">
        <f>IF(F151="","",CHOOSE(F151,"Ocak","Şubat","Mart","Nisan","Mayıs","Haziran","Temmuz","Ağustos","Eylül","Ekim","Kasım","Aralık"))</f>
        <v/>
      </c>
      <c r="H151" s="9">
        <f>IF(AND(D151="",E151=""),"",D151-E151)</f>
        <v/>
      </c>
    </row>
    <row r="152">
      <c r="A152" s="5" t="n"/>
      <c r="B152" s="6" t="n"/>
      <c r="C152" s="6" t="n"/>
      <c r="D152" s="7" t="n"/>
      <c r="E152" s="7" t="n"/>
      <c r="F152" s="8">
        <f>IF(A152="","",MONTH(A152))</f>
        <v/>
      </c>
      <c r="G152" s="8">
        <f>IF(F152="","",CHOOSE(F152,"Ocak","Şubat","Mart","Nisan","Mayıs","Haziran","Temmuz","Ağustos","Eylül","Ekim","Kasım","Aralık"))</f>
        <v/>
      </c>
      <c r="H152" s="9">
        <f>IF(AND(D152="",E152=""),"",D152-E152)</f>
        <v/>
      </c>
    </row>
    <row r="153">
      <c r="A153" s="5" t="n"/>
      <c r="B153" s="6" t="n"/>
      <c r="C153" s="6" t="n"/>
      <c r="D153" s="7" t="n"/>
      <c r="E153" s="7" t="n"/>
      <c r="F153" s="8">
        <f>IF(A153="","",MONTH(A153))</f>
        <v/>
      </c>
      <c r="G153" s="8">
        <f>IF(F153="","",CHOOSE(F153,"Ocak","Şubat","Mart","Nisan","Mayıs","Haziran","Temmuz","Ağustos","Eylül","Ekim","Kasım","Aralık"))</f>
        <v/>
      </c>
      <c r="H153" s="9">
        <f>IF(AND(D153="",E153=""),"",D153-E153)</f>
        <v/>
      </c>
    </row>
    <row r="154">
      <c r="A154" s="5" t="n"/>
      <c r="B154" s="6" t="n"/>
      <c r="C154" s="6" t="n"/>
      <c r="D154" s="7" t="n"/>
      <c r="E154" s="7" t="n"/>
      <c r="F154" s="8">
        <f>IF(A154="","",MONTH(A154))</f>
        <v/>
      </c>
      <c r="G154" s="8">
        <f>IF(F154="","",CHOOSE(F154,"Ocak","Şubat","Mart","Nisan","Mayıs","Haziran","Temmuz","Ağustos","Eylül","Ekim","Kasım","Aralık"))</f>
        <v/>
      </c>
      <c r="H154" s="9">
        <f>IF(AND(D154="",E154=""),"",D154-E154)</f>
        <v/>
      </c>
    </row>
    <row r="155">
      <c r="A155" s="5" t="n"/>
      <c r="B155" s="6" t="n"/>
      <c r="C155" s="6" t="n"/>
      <c r="D155" s="7" t="n"/>
      <c r="E155" s="7" t="n"/>
      <c r="F155" s="8">
        <f>IF(A155="","",MONTH(A155))</f>
        <v/>
      </c>
      <c r="G155" s="8">
        <f>IF(F155="","",CHOOSE(F155,"Ocak","Şubat","Mart","Nisan","Mayıs","Haziran","Temmuz","Ağustos","Eylül","Ekim","Kasım","Aralık"))</f>
        <v/>
      </c>
      <c r="H155" s="9">
        <f>IF(AND(D155="",E155=""),"",D155-E155)</f>
        <v/>
      </c>
    </row>
    <row r="156">
      <c r="A156" s="5" t="n"/>
      <c r="B156" s="6" t="n"/>
      <c r="C156" s="6" t="n"/>
      <c r="D156" s="7" t="n"/>
      <c r="E156" s="7" t="n"/>
      <c r="F156" s="8">
        <f>IF(A156="","",MONTH(A156))</f>
        <v/>
      </c>
      <c r="G156" s="8">
        <f>IF(F156="","",CHOOSE(F156,"Ocak","Şubat","Mart","Nisan","Mayıs","Haziran","Temmuz","Ağustos","Eylül","Ekim","Kasım","Aralık"))</f>
        <v/>
      </c>
      <c r="H156" s="9">
        <f>IF(AND(D156="",E156=""),"",D156-E156)</f>
        <v/>
      </c>
    </row>
    <row r="157">
      <c r="A157" s="5" t="n"/>
      <c r="B157" s="6" t="n"/>
      <c r="C157" s="6" t="n"/>
      <c r="D157" s="7" t="n"/>
      <c r="E157" s="7" t="n"/>
      <c r="F157" s="8">
        <f>IF(A157="","",MONTH(A157))</f>
        <v/>
      </c>
      <c r="G157" s="8">
        <f>IF(F157="","",CHOOSE(F157,"Ocak","Şubat","Mart","Nisan","Mayıs","Haziran","Temmuz","Ağustos","Eylül","Ekim","Kasım","Aralık"))</f>
        <v/>
      </c>
      <c r="H157" s="9">
        <f>IF(AND(D157="",E157=""),"",D157-E157)</f>
        <v/>
      </c>
    </row>
    <row r="158">
      <c r="A158" s="5" t="n"/>
      <c r="B158" s="6" t="n"/>
      <c r="C158" s="6" t="n"/>
      <c r="D158" s="7" t="n"/>
      <c r="E158" s="7" t="n"/>
      <c r="F158" s="8">
        <f>IF(A158="","",MONTH(A158))</f>
        <v/>
      </c>
      <c r="G158" s="8">
        <f>IF(F158="","",CHOOSE(F158,"Ocak","Şubat","Mart","Nisan","Mayıs","Haziran","Temmuz","Ağustos","Eylül","Ekim","Kasım","Aralık"))</f>
        <v/>
      </c>
      <c r="H158" s="9">
        <f>IF(AND(D158="",E158=""),"",D158-E158)</f>
        <v/>
      </c>
    </row>
    <row r="159">
      <c r="A159" s="5" t="n"/>
      <c r="B159" s="6" t="n"/>
      <c r="C159" s="6" t="n"/>
      <c r="D159" s="7" t="n"/>
      <c r="E159" s="7" t="n"/>
      <c r="F159" s="8">
        <f>IF(A159="","",MONTH(A159))</f>
        <v/>
      </c>
      <c r="G159" s="8">
        <f>IF(F159="","",CHOOSE(F159,"Ocak","Şubat","Mart","Nisan","Mayıs","Haziran","Temmuz","Ağustos","Eylül","Ekim","Kasım","Aralık"))</f>
        <v/>
      </c>
      <c r="H159" s="9">
        <f>IF(AND(D159="",E159=""),"",D159-E159)</f>
        <v/>
      </c>
    </row>
    <row r="160">
      <c r="A160" s="5" t="n"/>
      <c r="B160" s="6" t="n"/>
      <c r="C160" s="6" t="n"/>
      <c r="D160" s="7" t="n"/>
      <c r="E160" s="7" t="n"/>
      <c r="F160" s="8">
        <f>IF(A160="","",MONTH(A160))</f>
        <v/>
      </c>
      <c r="G160" s="8">
        <f>IF(F160="","",CHOOSE(F160,"Ocak","Şubat","Mart","Nisan","Mayıs","Haziran","Temmuz","Ağustos","Eylül","Ekim","Kasım","Aralık"))</f>
        <v/>
      </c>
      <c r="H160" s="9">
        <f>IF(AND(D160="",E160=""),"",D160-E160)</f>
        <v/>
      </c>
    </row>
    <row r="161">
      <c r="A161" s="5" t="n"/>
      <c r="B161" s="6" t="n"/>
      <c r="C161" s="6" t="n"/>
      <c r="D161" s="7" t="n"/>
      <c r="E161" s="7" t="n"/>
      <c r="F161" s="8">
        <f>IF(A161="","",MONTH(A161))</f>
        <v/>
      </c>
      <c r="G161" s="8">
        <f>IF(F161="","",CHOOSE(F161,"Ocak","Şubat","Mart","Nisan","Mayıs","Haziran","Temmuz","Ağustos","Eylül","Ekim","Kasım","Aralık"))</f>
        <v/>
      </c>
      <c r="H161" s="9">
        <f>IF(AND(D161="",E161=""),"",D161-E161)</f>
        <v/>
      </c>
    </row>
    <row r="162">
      <c r="A162" s="5" t="n"/>
      <c r="B162" s="6" t="n"/>
      <c r="C162" s="6" t="n"/>
      <c r="D162" s="7" t="n"/>
      <c r="E162" s="7" t="n"/>
      <c r="F162" s="8">
        <f>IF(A162="","",MONTH(A162))</f>
        <v/>
      </c>
      <c r="G162" s="8">
        <f>IF(F162="","",CHOOSE(F162,"Ocak","Şubat","Mart","Nisan","Mayıs","Haziran","Temmuz","Ağustos","Eylül","Ekim","Kasım","Aralık"))</f>
        <v/>
      </c>
      <c r="H162" s="9">
        <f>IF(AND(D162="",E162=""),"",D162-E162)</f>
        <v/>
      </c>
    </row>
    <row r="163">
      <c r="A163" s="5" t="n"/>
      <c r="B163" s="6" t="n"/>
      <c r="C163" s="6" t="n"/>
      <c r="D163" s="7" t="n"/>
      <c r="E163" s="7" t="n"/>
      <c r="F163" s="8">
        <f>IF(A163="","",MONTH(A163))</f>
        <v/>
      </c>
      <c r="G163" s="8">
        <f>IF(F163="","",CHOOSE(F163,"Ocak","Şubat","Mart","Nisan","Mayıs","Haziran","Temmuz","Ağustos","Eylül","Ekim","Kasım","Aralık"))</f>
        <v/>
      </c>
      <c r="H163" s="9">
        <f>IF(AND(D163="",E163=""),"",D163-E163)</f>
        <v/>
      </c>
    </row>
    <row r="164">
      <c r="A164" s="5" t="n"/>
      <c r="B164" s="6" t="n"/>
      <c r="C164" s="6" t="n"/>
      <c r="D164" s="7" t="n"/>
      <c r="E164" s="7" t="n"/>
      <c r="F164" s="8">
        <f>IF(A164="","",MONTH(A164))</f>
        <v/>
      </c>
      <c r="G164" s="8">
        <f>IF(F164="","",CHOOSE(F164,"Ocak","Şubat","Mart","Nisan","Mayıs","Haziran","Temmuz","Ağustos","Eylül","Ekim","Kasım","Aralık"))</f>
        <v/>
      </c>
      <c r="H164" s="9">
        <f>IF(AND(D164="",E164=""),"",D164-E164)</f>
        <v/>
      </c>
    </row>
    <row r="165">
      <c r="A165" s="5" t="n"/>
      <c r="B165" s="6" t="n"/>
      <c r="C165" s="6" t="n"/>
      <c r="D165" s="7" t="n"/>
      <c r="E165" s="7" t="n"/>
      <c r="F165" s="8">
        <f>IF(A165="","",MONTH(A165))</f>
        <v/>
      </c>
      <c r="G165" s="8">
        <f>IF(F165="","",CHOOSE(F165,"Ocak","Şubat","Mart","Nisan","Mayıs","Haziran","Temmuz","Ağustos","Eylül","Ekim","Kasım","Aralık"))</f>
        <v/>
      </c>
      <c r="H165" s="9">
        <f>IF(AND(D165="",E165=""),"",D165-E165)</f>
        <v/>
      </c>
    </row>
    <row r="166">
      <c r="A166" s="5" t="n"/>
      <c r="B166" s="6" t="n"/>
      <c r="C166" s="6" t="n"/>
      <c r="D166" s="7" t="n"/>
      <c r="E166" s="7" t="n"/>
      <c r="F166" s="8">
        <f>IF(A166="","",MONTH(A166))</f>
        <v/>
      </c>
      <c r="G166" s="8">
        <f>IF(F166="","",CHOOSE(F166,"Ocak","Şubat","Mart","Nisan","Mayıs","Haziran","Temmuz","Ağustos","Eylül","Ekim","Kasım","Aralık"))</f>
        <v/>
      </c>
      <c r="H166" s="9">
        <f>IF(AND(D166="",E166=""),"",D166-E166)</f>
        <v/>
      </c>
    </row>
    <row r="167">
      <c r="A167" s="5" t="n"/>
      <c r="B167" s="6" t="n"/>
      <c r="C167" s="6" t="n"/>
      <c r="D167" s="7" t="n"/>
      <c r="E167" s="7" t="n"/>
      <c r="F167" s="8">
        <f>IF(A167="","",MONTH(A167))</f>
        <v/>
      </c>
      <c r="G167" s="8">
        <f>IF(F167="","",CHOOSE(F167,"Ocak","Şubat","Mart","Nisan","Mayıs","Haziran","Temmuz","Ağustos","Eylül","Ekim","Kasım","Aralık"))</f>
        <v/>
      </c>
      <c r="H167" s="9">
        <f>IF(AND(D167="",E167=""),"",D167-E167)</f>
        <v/>
      </c>
    </row>
    <row r="168">
      <c r="A168" s="5" t="n"/>
      <c r="B168" s="6" t="n"/>
      <c r="C168" s="6" t="n"/>
      <c r="D168" s="7" t="n"/>
      <c r="E168" s="7" t="n"/>
      <c r="F168" s="8">
        <f>IF(A168="","",MONTH(A168))</f>
        <v/>
      </c>
      <c r="G168" s="8">
        <f>IF(F168="","",CHOOSE(F168,"Ocak","Şubat","Mart","Nisan","Mayıs","Haziran","Temmuz","Ağustos","Eylül","Ekim","Kasım","Aralık"))</f>
        <v/>
      </c>
      <c r="H168" s="9">
        <f>IF(AND(D168="",E168=""),"",D168-E168)</f>
        <v/>
      </c>
    </row>
    <row r="169">
      <c r="A169" s="5" t="n"/>
      <c r="B169" s="6" t="n"/>
      <c r="C169" s="6" t="n"/>
      <c r="D169" s="7" t="n"/>
      <c r="E169" s="7" t="n"/>
      <c r="F169" s="8">
        <f>IF(A169="","",MONTH(A169))</f>
        <v/>
      </c>
      <c r="G169" s="8">
        <f>IF(F169="","",CHOOSE(F169,"Ocak","Şubat","Mart","Nisan","Mayıs","Haziran","Temmuz","Ağustos","Eylül","Ekim","Kasım","Aralık"))</f>
        <v/>
      </c>
      <c r="H169" s="9">
        <f>IF(AND(D169="",E169=""),"",D169-E169)</f>
        <v/>
      </c>
    </row>
    <row r="170">
      <c r="A170" s="5" t="n"/>
      <c r="B170" s="6" t="n"/>
      <c r="C170" s="6" t="n"/>
      <c r="D170" s="7" t="n"/>
      <c r="E170" s="7" t="n"/>
      <c r="F170" s="8">
        <f>IF(A170="","",MONTH(A170))</f>
        <v/>
      </c>
      <c r="G170" s="8">
        <f>IF(F170="","",CHOOSE(F170,"Ocak","Şubat","Mart","Nisan","Mayıs","Haziran","Temmuz","Ağustos","Eylül","Ekim","Kasım","Aralık"))</f>
        <v/>
      </c>
      <c r="H170" s="9">
        <f>IF(AND(D170="",E170=""),"",D170-E170)</f>
        <v/>
      </c>
    </row>
    <row r="171">
      <c r="A171" s="5" t="n"/>
      <c r="B171" s="6" t="n"/>
      <c r="C171" s="6" t="n"/>
      <c r="D171" s="7" t="n"/>
      <c r="E171" s="7" t="n"/>
      <c r="F171" s="8">
        <f>IF(A171="","",MONTH(A171))</f>
        <v/>
      </c>
      <c r="G171" s="8">
        <f>IF(F171="","",CHOOSE(F171,"Ocak","Şubat","Mart","Nisan","Mayıs","Haziran","Temmuz","Ağustos","Eylül","Ekim","Kasım","Aralık"))</f>
        <v/>
      </c>
      <c r="H171" s="9">
        <f>IF(AND(D171="",E171=""),"",D171-E171)</f>
        <v/>
      </c>
    </row>
    <row r="172">
      <c r="A172" s="5" t="n"/>
      <c r="B172" s="6" t="n"/>
      <c r="C172" s="6" t="n"/>
      <c r="D172" s="7" t="n"/>
      <c r="E172" s="7" t="n"/>
      <c r="F172" s="8">
        <f>IF(A172="","",MONTH(A172))</f>
        <v/>
      </c>
      <c r="G172" s="8">
        <f>IF(F172="","",CHOOSE(F172,"Ocak","Şubat","Mart","Nisan","Mayıs","Haziran","Temmuz","Ağustos","Eylül","Ekim","Kasım","Aralık"))</f>
        <v/>
      </c>
      <c r="H172" s="9">
        <f>IF(AND(D172="",E172=""),"",D172-E172)</f>
        <v/>
      </c>
    </row>
    <row r="173">
      <c r="A173" s="5" t="n"/>
      <c r="B173" s="6" t="n"/>
      <c r="C173" s="6" t="n"/>
      <c r="D173" s="7" t="n"/>
      <c r="E173" s="7" t="n"/>
      <c r="F173" s="8">
        <f>IF(A173="","",MONTH(A173))</f>
        <v/>
      </c>
      <c r="G173" s="8">
        <f>IF(F173="","",CHOOSE(F173,"Ocak","Şubat","Mart","Nisan","Mayıs","Haziran","Temmuz","Ağustos","Eylül","Ekim","Kasım","Aralık"))</f>
        <v/>
      </c>
      <c r="H173" s="9">
        <f>IF(AND(D173="",E173=""),"",D173-E173)</f>
        <v/>
      </c>
    </row>
    <row r="174">
      <c r="A174" s="5" t="n"/>
      <c r="B174" s="6" t="n"/>
      <c r="C174" s="6" t="n"/>
      <c r="D174" s="7" t="n"/>
      <c r="E174" s="7" t="n"/>
      <c r="F174" s="8">
        <f>IF(A174="","",MONTH(A174))</f>
        <v/>
      </c>
      <c r="G174" s="8">
        <f>IF(F174="","",CHOOSE(F174,"Ocak","Şubat","Mart","Nisan","Mayıs","Haziran","Temmuz","Ağustos","Eylül","Ekim","Kasım","Aralık"))</f>
        <v/>
      </c>
      <c r="H174" s="9">
        <f>IF(AND(D174="",E174=""),"",D174-E174)</f>
        <v/>
      </c>
    </row>
    <row r="175">
      <c r="A175" s="5" t="n"/>
      <c r="B175" s="6" t="n"/>
      <c r="C175" s="6" t="n"/>
      <c r="D175" s="7" t="n"/>
      <c r="E175" s="7" t="n"/>
      <c r="F175" s="8">
        <f>IF(A175="","",MONTH(A175))</f>
        <v/>
      </c>
      <c r="G175" s="8">
        <f>IF(F175="","",CHOOSE(F175,"Ocak","Şubat","Mart","Nisan","Mayıs","Haziran","Temmuz","Ağustos","Eylül","Ekim","Kasım","Aralık"))</f>
        <v/>
      </c>
      <c r="H175" s="9">
        <f>IF(AND(D175="",E175=""),"",D175-E175)</f>
        <v/>
      </c>
    </row>
    <row r="176">
      <c r="A176" s="5" t="n"/>
      <c r="B176" s="6" t="n"/>
      <c r="C176" s="6" t="n"/>
      <c r="D176" s="7" t="n"/>
      <c r="E176" s="7" t="n"/>
      <c r="F176" s="8">
        <f>IF(A176="","",MONTH(A176))</f>
        <v/>
      </c>
      <c r="G176" s="8">
        <f>IF(F176="","",CHOOSE(F176,"Ocak","Şubat","Mart","Nisan","Mayıs","Haziran","Temmuz","Ağustos","Eylül","Ekim","Kasım","Aralık"))</f>
        <v/>
      </c>
      <c r="H176" s="9">
        <f>IF(AND(D176="",E176=""),"",D176-E176)</f>
        <v/>
      </c>
    </row>
    <row r="177">
      <c r="A177" s="5" t="n"/>
      <c r="B177" s="6" t="n"/>
      <c r="C177" s="6" t="n"/>
      <c r="D177" s="7" t="n"/>
      <c r="E177" s="7" t="n"/>
      <c r="F177" s="8">
        <f>IF(A177="","",MONTH(A177))</f>
        <v/>
      </c>
      <c r="G177" s="8">
        <f>IF(F177="","",CHOOSE(F177,"Ocak","Şubat","Mart","Nisan","Mayıs","Haziran","Temmuz","Ağustos","Eylül","Ekim","Kasım","Aralık"))</f>
        <v/>
      </c>
      <c r="H177" s="9">
        <f>IF(AND(D177="",E177=""),"",D177-E177)</f>
        <v/>
      </c>
    </row>
    <row r="178">
      <c r="A178" s="5" t="n"/>
      <c r="B178" s="6" t="n"/>
      <c r="C178" s="6" t="n"/>
      <c r="D178" s="7" t="n"/>
      <c r="E178" s="7" t="n"/>
      <c r="F178" s="8">
        <f>IF(A178="","",MONTH(A178))</f>
        <v/>
      </c>
      <c r="G178" s="8">
        <f>IF(F178="","",CHOOSE(F178,"Ocak","Şubat","Mart","Nisan","Mayıs","Haziran","Temmuz","Ağustos","Eylül","Ekim","Kasım","Aralık"))</f>
        <v/>
      </c>
      <c r="H178" s="9">
        <f>IF(AND(D178="",E178=""),"",D178-E178)</f>
        <v/>
      </c>
    </row>
    <row r="179">
      <c r="A179" s="5" t="n"/>
      <c r="B179" s="6" t="n"/>
      <c r="C179" s="6" t="n"/>
      <c r="D179" s="7" t="n"/>
      <c r="E179" s="7" t="n"/>
      <c r="F179" s="8">
        <f>IF(A179="","",MONTH(A179))</f>
        <v/>
      </c>
      <c r="G179" s="8">
        <f>IF(F179="","",CHOOSE(F179,"Ocak","Şubat","Mart","Nisan","Mayıs","Haziran","Temmuz","Ağustos","Eylül","Ekim","Kasım","Aralık"))</f>
        <v/>
      </c>
      <c r="H179" s="9">
        <f>IF(AND(D179="",E179=""),"",D179-E179)</f>
        <v/>
      </c>
    </row>
    <row r="180">
      <c r="A180" s="5" t="n"/>
      <c r="B180" s="6" t="n"/>
      <c r="C180" s="6" t="n"/>
      <c r="D180" s="7" t="n"/>
      <c r="E180" s="7" t="n"/>
      <c r="F180" s="8">
        <f>IF(A180="","",MONTH(A180))</f>
        <v/>
      </c>
      <c r="G180" s="8">
        <f>IF(F180="","",CHOOSE(F180,"Ocak","Şubat","Mart","Nisan","Mayıs","Haziran","Temmuz","Ağustos","Eylül","Ekim","Kasım","Aralık"))</f>
        <v/>
      </c>
      <c r="H180" s="9">
        <f>IF(AND(D180="",E180=""),"",D180-E180)</f>
        <v/>
      </c>
    </row>
    <row r="181">
      <c r="A181" s="5" t="n"/>
      <c r="B181" s="6" t="n"/>
      <c r="C181" s="6" t="n"/>
      <c r="D181" s="7" t="n"/>
      <c r="E181" s="7" t="n"/>
      <c r="F181" s="8">
        <f>IF(A181="","",MONTH(A181))</f>
        <v/>
      </c>
      <c r="G181" s="8">
        <f>IF(F181="","",CHOOSE(F181,"Ocak","Şubat","Mart","Nisan","Mayıs","Haziran","Temmuz","Ağustos","Eylül","Ekim","Kasım","Aralık"))</f>
        <v/>
      </c>
      <c r="H181" s="9">
        <f>IF(AND(D181="",E181=""),"",D181-E181)</f>
        <v/>
      </c>
    </row>
    <row r="182">
      <c r="A182" s="5" t="n"/>
      <c r="B182" s="6" t="n"/>
      <c r="C182" s="6" t="n"/>
      <c r="D182" s="7" t="n"/>
      <c r="E182" s="7" t="n"/>
      <c r="F182" s="8">
        <f>IF(A182="","",MONTH(A182))</f>
        <v/>
      </c>
      <c r="G182" s="8">
        <f>IF(F182="","",CHOOSE(F182,"Ocak","Şubat","Mart","Nisan","Mayıs","Haziran","Temmuz","Ağustos","Eylül","Ekim","Kasım","Aralık"))</f>
        <v/>
      </c>
      <c r="H182" s="9">
        <f>IF(AND(D182="",E182=""),"",D182-E182)</f>
        <v/>
      </c>
    </row>
    <row r="183">
      <c r="A183" s="5" t="n"/>
      <c r="B183" s="6" t="n"/>
      <c r="C183" s="6" t="n"/>
      <c r="D183" s="7" t="n"/>
      <c r="E183" s="7" t="n"/>
      <c r="F183" s="8">
        <f>IF(A183="","",MONTH(A183))</f>
        <v/>
      </c>
      <c r="G183" s="8">
        <f>IF(F183="","",CHOOSE(F183,"Ocak","Şubat","Mart","Nisan","Mayıs","Haziran","Temmuz","Ağustos","Eylül","Ekim","Kasım","Aralık"))</f>
        <v/>
      </c>
      <c r="H183" s="9">
        <f>IF(AND(D183="",E183=""),"",D183-E183)</f>
        <v/>
      </c>
    </row>
    <row r="184">
      <c r="A184" s="5" t="n"/>
      <c r="B184" s="6" t="n"/>
      <c r="C184" s="6" t="n"/>
      <c r="D184" s="7" t="n"/>
      <c r="E184" s="7" t="n"/>
      <c r="F184" s="8">
        <f>IF(A184="","",MONTH(A184))</f>
        <v/>
      </c>
      <c r="G184" s="8">
        <f>IF(F184="","",CHOOSE(F184,"Ocak","Şubat","Mart","Nisan","Mayıs","Haziran","Temmuz","Ağustos","Eylül","Ekim","Kasım","Aralık"))</f>
        <v/>
      </c>
      <c r="H184" s="9">
        <f>IF(AND(D184="",E184=""),"",D184-E184)</f>
        <v/>
      </c>
    </row>
    <row r="185">
      <c r="A185" s="5" t="n"/>
      <c r="B185" s="6" t="n"/>
      <c r="C185" s="6" t="n"/>
      <c r="D185" s="7" t="n"/>
      <c r="E185" s="7" t="n"/>
      <c r="F185" s="8">
        <f>IF(A185="","",MONTH(A185))</f>
        <v/>
      </c>
      <c r="G185" s="8">
        <f>IF(F185="","",CHOOSE(F185,"Ocak","Şubat","Mart","Nisan","Mayıs","Haziran","Temmuz","Ağustos","Eylül","Ekim","Kasım","Aralık"))</f>
        <v/>
      </c>
      <c r="H185" s="9">
        <f>IF(AND(D185="",E185=""),"",D185-E185)</f>
        <v/>
      </c>
    </row>
    <row r="186">
      <c r="A186" s="5" t="n"/>
      <c r="B186" s="6" t="n"/>
      <c r="C186" s="6" t="n"/>
      <c r="D186" s="7" t="n"/>
      <c r="E186" s="7" t="n"/>
      <c r="F186" s="8">
        <f>IF(A186="","",MONTH(A186))</f>
        <v/>
      </c>
      <c r="G186" s="8">
        <f>IF(F186="","",CHOOSE(F186,"Ocak","Şubat","Mart","Nisan","Mayıs","Haziran","Temmuz","Ağustos","Eylül","Ekim","Kasım","Aralık"))</f>
        <v/>
      </c>
      <c r="H186" s="9">
        <f>IF(AND(D186="",E186=""),"",D186-E186)</f>
        <v/>
      </c>
    </row>
    <row r="187">
      <c r="A187" s="5" t="n"/>
      <c r="B187" s="6" t="n"/>
      <c r="C187" s="6" t="n"/>
      <c r="D187" s="7" t="n"/>
      <c r="E187" s="7" t="n"/>
      <c r="F187" s="8">
        <f>IF(A187="","",MONTH(A187))</f>
        <v/>
      </c>
      <c r="G187" s="8">
        <f>IF(F187="","",CHOOSE(F187,"Ocak","Şubat","Mart","Nisan","Mayıs","Haziran","Temmuz","Ağustos","Eylül","Ekim","Kasım","Aralık"))</f>
        <v/>
      </c>
      <c r="H187" s="9">
        <f>IF(AND(D187="",E187=""),"",D187-E187)</f>
        <v/>
      </c>
    </row>
    <row r="188">
      <c r="A188" s="5" t="n"/>
      <c r="B188" s="6" t="n"/>
      <c r="C188" s="6" t="n"/>
      <c r="D188" s="7" t="n"/>
      <c r="E188" s="7" t="n"/>
      <c r="F188" s="8">
        <f>IF(A188="","",MONTH(A188))</f>
        <v/>
      </c>
      <c r="G188" s="8">
        <f>IF(F188="","",CHOOSE(F188,"Ocak","Şubat","Mart","Nisan","Mayıs","Haziran","Temmuz","Ağustos","Eylül","Ekim","Kasım","Aralık"))</f>
        <v/>
      </c>
      <c r="H188" s="9">
        <f>IF(AND(D188="",E188=""),"",D188-E188)</f>
        <v/>
      </c>
    </row>
    <row r="189">
      <c r="A189" s="5" t="n"/>
      <c r="B189" s="6" t="n"/>
      <c r="C189" s="6" t="n"/>
      <c r="D189" s="7" t="n"/>
      <c r="E189" s="7" t="n"/>
      <c r="F189" s="8">
        <f>IF(A189="","",MONTH(A189))</f>
        <v/>
      </c>
      <c r="G189" s="8">
        <f>IF(F189="","",CHOOSE(F189,"Ocak","Şubat","Mart","Nisan","Mayıs","Haziran","Temmuz","Ağustos","Eylül","Ekim","Kasım","Aralık"))</f>
        <v/>
      </c>
      <c r="H189" s="9">
        <f>IF(AND(D189="",E189=""),"",D189-E189)</f>
        <v/>
      </c>
    </row>
    <row r="190">
      <c r="A190" s="5" t="n"/>
      <c r="B190" s="6" t="n"/>
      <c r="C190" s="6" t="n"/>
      <c r="D190" s="7" t="n"/>
      <c r="E190" s="7" t="n"/>
      <c r="F190" s="8">
        <f>IF(A190="","",MONTH(A190))</f>
        <v/>
      </c>
      <c r="G190" s="8">
        <f>IF(F190="","",CHOOSE(F190,"Ocak","Şubat","Mart","Nisan","Mayıs","Haziran","Temmuz","Ağustos","Eylül","Ekim","Kasım","Aralık"))</f>
        <v/>
      </c>
      <c r="H190" s="9">
        <f>IF(AND(D190="",E190=""),"",D190-E190)</f>
        <v/>
      </c>
    </row>
    <row r="191">
      <c r="A191" s="5" t="n"/>
      <c r="B191" s="6" t="n"/>
      <c r="C191" s="6" t="n"/>
      <c r="D191" s="7" t="n"/>
      <c r="E191" s="7" t="n"/>
      <c r="F191" s="8">
        <f>IF(A191="","",MONTH(A191))</f>
        <v/>
      </c>
      <c r="G191" s="8">
        <f>IF(F191="","",CHOOSE(F191,"Ocak","Şubat","Mart","Nisan","Mayıs","Haziran","Temmuz","Ağustos","Eylül","Ekim","Kasım","Aralık"))</f>
        <v/>
      </c>
      <c r="H191" s="9">
        <f>IF(AND(D191="",E191=""),"",D191-E191)</f>
        <v/>
      </c>
    </row>
    <row r="192">
      <c r="A192" s="5" t="n"/>
      <c r="B192" s="6" t="n"/>
      <c r="C192" s="6" t="n"/>
      <c r="D192" s="7" t="n"/>
      <c r="E192" s="7" t="n"/>
      <c r="F192" s="8">
        <f>IF(A192="","",MONTH(A192))</f>
        <v/>
      </c>
      <c r="G192" s="8">
        <f>IF(F192="","",CHOOSE(F192,"Ocak","Şubat","Mart","Nisan","Mayıs","Haziran","Temmuz","Ağustos","Eylül","Ekim","Kasım","Aralık"))</f>
        <v/>
      </c>
      <c r="H192" s="9">
        <f>IF(AND(D192="",E192=""),"",D192-E192)</f>
        <v/>
      </c>
    </row>
    <row r="193">
      <c r="A193" s="5" t="n"/>
      <c r="B193" s="6" t="n"/>
      <c r="C193" s="6" t="n"/>
      <c r="D193" s="7" t="n"/>
      <c r="E193" s="7" t="n"/>
      <c r="F193" s="8">
        <f>IF(A193="","",MONTH(A193))</f>
        <v/>
      </c>
      <c r="G193" s="8">
        <f>IF(F193="","",CHOOSE(F193,"Ocak","Şubat","Mart","Nisan","Mayıs","Haziran","Temmuz","Ağustos","Eylül","Ekim","Kasım","Aralık"))</f>
        <v/>
      </c>
      <c r="H193" s="9">
        <f>IF(AND(D193="",E193=""),"",D193-E193)</f>
        <v/>
      </c>
    </row>
    <row r="194">
      <c r="A194" s="5" t="n"/>
      <c r="B194" s="6" t="n"/>
      <c r="C194" s="6" t="n"/>
      <c r="D194" s="7" t="n"/>
      <c r="E194" s="7" t="n"/>
      <c r="F194" s="8">
        <f>IF(A194="","",MONTH(A194))</f>
        <v/>
      </c>
      <c r="G194" s="8">
        <f>IF(F194="","",CHOOSE(F194,"Ocak","Şubat","Mart","Nisan","Mayıs","Haziran","Temmuz","Ağustos","Eylül","Ekim","Kasım","Aralık"))</f>
        <v/>
      </c>
      <c r="H194" s="9">
        <f>IF(AND(D194="",E194=""),"",D194-E194)</f>
        <v/>
      </c>
    </row>
    <row r="195">
      <c r="A195" s="5" t="n"/>
      <c r="B195" s="6" t="n"/>
      <c r="C195" s="6" t="n"/>
      <c r="D195" s="7" t="n"/>
      <c r="E195" s="7" t="n"/>
      <c r="F195" s="8">
        <f>IF(A195="","",MONTH(A195))</f>
        <v/>
      </c>
      <c r="G195" s="8">
        <f>IF(F195="","",CHOOSE(F195,"Ocak","Şubat","Mart","Nisan","Mayıs","Haziran","Temmuz","Ağustos","Eylül","Ekim","Kasım","Aralık"))</f>
        <v/>
      </c>
      <c r="H195" s="9">
        <f>IF(AND(D195="",E195=""),"",D195-E195)</f>
        <v/>
      </c>
    </row>
    <row r="196">
      <c r="A196" s="5" t="n"/>
      <c r="B196" s="6" t="n"/>
      <c r="C196" s="6" t="n"/>
      <c r="D196" s="7" t="n"/>
      <c r="E196" s="7" t="n"/>
      <c r="F196" s="8">
        <f>IF(A196="","",MONTH(A196))</f>
        <v/>
      </c>
      <c r="G196" s="8">
        <f>IF(F196="","",CHOOSE(F196,"Ocak","Şubat","Mart","Nisan","Mayıs","Haziran","Temmuz","Ağustos","Eylül","Ekim","Kasım","Aralık"))</f>
        <v/>
      </c>
      <c r="H196" s="9">
        <f>IF(AND(D196="",E196=""),"",D196-E196)</f>
        <v/>
      </c>
    </row>
    <row r="197">
      <c r="A197" s="5" t="n"/>
      <c r="B197" s="6" t="n"/>
      <c r="C197" s="6" t="n"/>
      <c r="D197" s="7" t="n"/>
      <c r="E197" s="7" t="n"/>
      <c r="F197" s="8">
        <f>IF(A197="","",MONTH(A197))</f>
        <v/>
      </c>
      <c r="G197" s="8">
        <f>IF(F197="","",CHOOSE(F197,"Ocak","Şubat","Mart","Nisan","Mayıs","Haziran","Temmuz","Ağustos","Eylül","Ekim","Kasım","Aralık"))</f>
        <v/>
      </c>
      <c r="H197" s="9">
        <f>IF(AND(D197="",E197=""),"",D197-E197)</f>
        <v/>
      </c>
    </row>
    <row r="198">
      <c r="A198" s="5" t="n"/>
      <c r="B198" s="6" t="n"/>
      <c r="C198" s="6" t="n"/>
      <c r="D198" s="7" t="n"/>
      <c r="E198" s="7" t="n"/>
      <c r="F198" s="8">
        <f>IF(A198="","",MONTH(A198))</f>
        <v/>
      </c>
      <c r="G198" s="8">
        <f>IF(F198="","",CHOOSE(F198,"Ocak","Şubat","Mart","Nisan","Mayıs","Haziran","Temmuz","Ağustos","Eylül","Ekim","Kasım","Aralık"))</f>
        <v/>
      </c>
      <c r="H198" s="9">
        <f>IF(AND(D198="",E198=""),"",D198-E198)</f>
        <v/>
      </c>
    </row>
    <row r="199">
      <c r="A199" s="5" t="n"/>
      <c r="B199" s="6" t="n"/>
      <c r="C199" s="6" t="n"/>
      <c r="D199" s="7" t="n"/>
      <c r="E199" s="7" t="n"/>
      <c r="F199" s="8">
        <f>IF(A199="","",MONTH(A199))</f>
        <v/>
      </c>
      <c r="G199" s="8">
        <f>IF(F199="","",CHOOSE(F199,"Ocak","Şubat","Mart","Nisan","Mayıs","Haziran","Temmuz","Ağustos","Eylül","Ekim","Kasım","Aralık"))</f>
        <v/>
      </c>
      <c r="H199" s="9">
        <f>IF(AND(D199="",E199=""),"",D199-E199)</f>
        <v/>
      </c>
    </row>
    <row r="200">
      <c r="A200" s="5" t="n"/>
      <c r="B200" s="6" t="n"/>
      <c r="C200" s="6" t="n"/>
      <c r="D200" s="7" t="n"/>
      <c r="E200" s="7" t="n"/>
      <c r="F200" s="8">
        <f>IF(A200="","",MONTH(A200))</f>
        <v/>
      </c>
      <c r="G200" s="8">
        <f>IF(F200="","",CHOOSE(F200,"Ocak","Şubat","Mart","Nisan","Mayıs","Haziran","Temmuz","Ağustos","Eylül","Ekim","Kasım","Aralık"))</f>
        <v/>
      </c>
      <c r="H200" s="9">
        <f>IF(AND(D200="",E200=""),"",D200-E200)</f>
        <v/>
      </c>
    </row>
    <row r="201">
      <c r="A201" s="5" t="n"/>
      <c r="B201" s="6" t="n"/>
      <c r="C201" s="6" t="n"/>
      <c r="D201" s="7" t="n"/>
      <c r="E201" s="7" t="n"/>
      <c r="F201" s="8">
        <f>IF(A201="","",MONTH(A201))</f>
        <v/>
      </c>
      <c r="G201" s="8">
        <f>IF(F201="","",CHOOSE(F201,"Ocak","Şubat","Mart","Nisan","Mayıs","Haziran","Temmuz","Ağustos","Eylül","Ekim","Kasım","Aralık"))</f>
        <v/>
      </c>
      <c r="H201" s="9">
        <f>IF(AND(D201="",E201=""),"",D201-E201)</f>
        <v/>
      </c>
    </row>
    <row r="202">
      <c r="A202" s="5" t="n"/>
      <c r="B202" s="6" t="n"/>
      <c r="C202" s="6" t="n"/>
      <c r="D202" s="7" t="n"/>
      <c r="E202" s="7" t="n"/>
      <c r="F202" s="8">
        <f>IF(A202="","",MONTH(A202))</f>
        <v/>
      </c>
      <c r="G202" s="8">
        <f>IF(F202="","",CHOOSE(F202,"Ocak","Şubat","Mart","Nisan","Mayıs","Haziran","Temmuz","Ağustos","Eylül","Ekim","Kasım","Aralık"))</f>
        <v/>
      </c>
      <c r="H202" s="9">
        <f>IF(AND(D202="",E202=""),"",D202-E202)</f>
        <v/>
      </c>
    </row>
    <row r="203">
      <c r="A203" s="5" t="n"/>
      <c r="B203" s="6" t="n"/>
      <c r="C203" s="6" t="n"/>
      <c r="D203" s="7" t="n"/>
      <c r="E203" s="7" t="n"/>
      <c r="F203" s="8">
        <f>IF(A203="","",MONTH(A203))</f>
        <v/>
      </c>
      <c r="G203" s="8">
        <f>IF(F203="","",CHOOSE(F203,"Ocak","Şubat","Mart","Nisan","Mayıs","Haziran","Temmuz","Ağustos","Eylül","Ekim","Kasım","Aralık"))</f>
        <v/>
      </c>
      <c r="H203" s="9">
        <f>IF(AND(D203="",E203=""),"",D203-E203)</f>
        <v/>
      </c>
    </row>
    <row r="204">
      <c r="A204" s="5" t="n"/>
      <c r="B204" s="6" t="n"/>
      <c r="C204" s="6" t="n"/>
      <c r="D204" s="7" t="n"/>
      <c r="E204" s="7" t="n"/>
      <c r="F204" s="8">
        <f>IF(A204="","",MONTH(A204))</f>
        <v/>
      </c>
      <c r="G204" s="8">
        <f>IF(F204="","",CHOOSE(F204,"Ocak","Şubat","Mart","Nisan","Mayıs","Haziran","Temmuz","Ağustos","Eylül","Ekim","Kasım","Aralık"))</f>
        <v/>
      </c>
      <c r="H204" s="9">
        <f>IF(AND(D204="",E204=""),"",D204-E204)</f>
        <v/>
      </c>
    </row>
    <row r="205">
      <c r="A205" s="5" t="n"/>
      <c r="B205" s="6" t="n"/>
      <c r="C205" s="6" t="n"/>
      <c r="D205" s="7" t="n"/>
      <c r="E205" s="7" t="n"/>
      <c r="F205" s="8">
        <f>IF(A205="","",MONTH(A205))</f>
        <v/>
      </c>
      <c r="G205" s="8">
        <f>IF(F205="","",CHOOSE(F205,"Ocak","Şubat","Mart","Nisan","Mayıs","Haziran","Temmuz","Ağustos","Eylül","Ekim","Kasım","Aralık"))</f>
        <v/>
      </c>
      <c r="H205" s="9">
        <f>IF(AND(D205="",E205=""),"",D205-E205)</f>
        <v/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8" customWidth="1" min="3" max="3"/>
    <col width="16" customWidth="1" min="4" max="4"/>
    <col width="18" customWidth="1" min="5" max="5"/>
    <col width="18" customWidth="1" min="6" max="6"/>
  </cols>
  <sheetData>
    <row r="1" ht="24" customHeight="1">
      <c r="A1" s="1" t="inlineStr">
        <is>
          <t>MUAVİN / CARİ HAREKETLER</t>
        </is>
      </c>
    </row>
    <row r="3">
      <c r="A3" s="10" t="inlineStr">
        <is>
          <t>Tarih</t>
        </is>
      </c>
      <c r="B3" s="10" t="inlineStr">
        <is>
          <t>Tür</t>
        </is>
      </c>
      <c r="C3" s="10" t="inlineStr">
        <is>
          <t>Açıklama</t>
        </is>
      </c>
      <c r="D3" s="10" t="inlineStr">
        <is>
          <t>Borç (Satış)</t>
        </is>
      </c>
      <c r="E3" s="10" t="inlineStr">
        <is>
          <t>Alacak (Tahsilat)</t>
        </is>
      </c>
      <c r="F3" s="10" t="inlineStr">
        <is>
          <t>Bakiye</t>
        </is>
      </c>
    </row>
    <row r="4">
      <c r="A4" s="11">
        <f>'Hareket Girişi'!A6</f>
        <v/>
      </c>
      <c r="B4">
        <f>'Hareket Girişi'!B6</f>
        <v/>
      </c>
      <c r="C4">
        <f>'Hareket Girişi'!C6</f>
        <v/>
      </c>
      <c r="D4" s="12">
        <f>'Hareket Girişi'!D6</f>
        <v/>
      </c>
      <c r="E4" s="12">
        <f>'Hareket Girişi'!E6</f>
        <v/>
      </c>
      <c r="F4" s="12">
        <f>IF(A4="","",D4-E4)</f>
        <v/>
      </c>
    </row>
    <row r="5">
      <c r="A5" s="11">
        <f>'Hareket Girişi'!A7</f>
        <v/>
      </c>
      <c r="B5">
        <f>'Hareket Girişi'!B7</f>
        <v/>
      </c>
      <c r="C5">
        <f>'Hareket Girişi'!C7</f>
        <v/>
      </c>
      <c r="D5" s="12">
        <f>'Hareket Girişi'!D7</f>
        <v/>
      </c>
      <c r="E5" s="12">
        <f>'Hareket Girişi'!E7</f>
        <v/>
      </c>
      <c r="F5" s="12">
        <f>IF(A5="","",F4+D5-E5)</f>
        <v/>
      </c>
    </row>
    <row r="6">
      <c r="A6" s="11">
        <f>'Hareket Girişi'!A8</f>
        <v/>
      </c>
      <c r="B6">
        <f>'Hareket Girişi'!B8</f>
        <v/>
      </c>
      <c r="C6">
        <f>'Hareket Girişi'!C8</f>
        <v/>
      </c>
      <c r="D6" s="12">
        <f>'Hareket Girişi'!D8</f>
        <v/>
      </c>
      <c r="E6" s="12">
        <f>'Hareket Girişi'!E8</f>
        <v/>
      </c>
      <c r="F6" s="12">
        <f>IF(A6="","",F5+D6-E6)</f>
        <v/>
      </c>
    </row>
    <row r="7">
      <c r="A7" s="11">
        <f>'Hareket Girişi'!A9</f>
        <v/>
      </c>
      <c r="B7">
        <f>'Hareket Girişi'!B9</f>
        <v/>
      </c>
      <c r="C7">
        <f>'Hareket Girişi'!C9</f>
        <v/>
      </c>
      <c r="D7" s="12">
        <f>'Hareket Girişi'!D9</f>
        <v/>
      </c>
      <c r="E7" s="12">
        <f>'Hareket Girişi'!E9</f>
        <v/>
      </c>
      <c r="F7" s="12">
        <f>IF(A7="","",F6+D7-E7)</f>
        <v/>
      </c>
    </row>
    <row r="8">
      <c r="A8" s="11">
        <f>'Hareket Girişi'!A10</f>
        <v/>
      </c>
      <c r="B8">
        <f>'Hareket Girişi'!B10</f>
        <v/>
      </c>
      <c r="C8">
        <f>'Hareket Girişi'!C10</f>
        <v/>
      </c>
      <c r="D8" s="12">
        <f>'Hareket Girişi'!D10</f>
        <v/>
      </c>
      <c r="E8" s="12">
        <f>'Hareket Girişi'!E10</f>
        <v/>
      </c>
      <c r="F8" s="12">
        <f>IF(A8="","",F7+D8-E8)</f>
        <v/>
      </c>
    </row>
    <row r="9">
      <c r="A9" s="11">
        <f>'Hareket Girişi'!A11</f>
        <v/>
      </c>
      <c r="B9">
        <f>'Hareket Girişi'!B11</f>
        <v/>
      </c>
      <c r="C9">
        <f>'Hareket Girişi'!C11</f>
        <v/>
      </c>
      <c r="D9" s="12">
        <f>'Hareket Girişi'!D11</f>
        <v/>
      </c>
      <c r="E9" s="12">
        <f>'Hareket Girişi'!E11</f>
        <v/>
      </c>
      <c r="F9" s="12">
        <f>IF(A9="","",F8+D9-E9)</f>
        <v/>
      </c>
    </row>
    <row r="10">
      <c r="A10" s="11">
        <f>'Hareket Girişi'!A12</f>
        <v/>
      </c>
      <c r="B10">
        <f>'Hareket Girişi'!B12</f>
        <v/>
      </c>
      <c r="C10">
        <f>'Hareket Girişi'!C12</f>
        <v/>
      </c>
      <c r="D10" s="12">
        <f>'Hareket Girişi'!D12</f>
        <v/>
      </c>
      <c r="E10" s="12">
        <f>'Hareket Girişi'!E12</f>
        <v/>
      </c>
      <c r="F10" s="12">
        <f>IF(A10="","",F9+D10-E10)</f>
        <v/>
      </c>
    </row>
    <row r="11">
      <c r="A11" s="11">
        <f>'Hareket Girişi'!A13</f>
        <v/>
      </c>
      <c r="B11">
        <f>'Hareket Girişi'!B13</f>
        <v/>
      </c>
      <c r="C11">
        <f>'Hareket Girişi'!C13</f>
        <v/>
      </c>
      <c r="D11" s="12">
        <f>'Hareket Girişi'!D13</f>
        <v/>
      </c>
      <c r="E11" s="12">
        <f>'Hareket Girişi'!E13</f>
        <v/>
      </c>
      <c r="F11" s="12">
        <f>IF(A11="","",F10+D11-E11)</f>
        <v/>
      </c>
    </row>
    <row r="12">
      <c r="A12" s="11">
        <f>'Hareket Girişi'!A14</f>
        <v/>
      </c>
      <c r="B12">
        <f>'Hareket Girişi'!B14</f>
        <v/>
      </c>
      <c r="C12">
        <f>'Hareket Girişi'!C14</f>
        <v/>
      </c>
      <c r="D12" s="12">
        <f>'Hareket Girişi'!D14</f>
        <v/>
      </c>
      <c r="E12" s="12">
        <f>'Hareket Girişi'!E14</f>
        <v/>
      </c>
      <c r="F12" s="12">
        <f>IF(A12="","",F11+D12-E12)</f>
        <v/>
      </c>
    </row>
    <row r="13">
      <c r="A13" s="11">
        <f>'Hareket Girişi'!A15</f>
        <v/>
      </c>
      <c r="B13">
        <f>'Hareket Girişi'!B15</f>
        <v/>
      </c>
      <c r="C13">
        <f>'Hareket Girişi'!C15</f>
        <v/>
      </c>
      <c r="D13" s="12">
        <f>'Hareket Girişi'!D15</f>
        <v/>
      </c>
      <c r="E13" s="12">
        <f>'Hareket Girişi'!E15</f>
        <v/>
      </c>
      <c r="F13" s="12">
        <f>IF(A13="","",F12+D13-E13)</f>
        <v/>
      </c>
    </row>
    <row r="14">
      <c r="A14" s="11">
        <f>'Hareket Girişi'!A16</f>
        <v/>
      </c>
      <c r="B14">
        <f>'Hareket Girişi'!B16</f>
        <v/>
      </c>
      <c r="C14">
        <f>'Hareket Girişi'!C16</f>
        <v/>
      </c>
      <c r="D14" s="12">
        <f>'Hareket Girişi'!D16</f>
        <v/>
      </c>
      <c r="E14" s="12">
        <f>'Hareket Girişi'!E16</f>
        <v/>
      </c>
      <c r="F14" s="12">
        <f>IF(A14="","",F13+D14-E14)</f>
        <v/>
      </c>
    </row>
    <row r="15">
      <c r="A15" s="11">
        <f>'Hareket Girişi'!A17</f>
        <v/>
      </c>
      <c r="B15">
        <f>'Hareket Girişi'!B17</f>
        <v/>
      </c>
      <c r="C15">
        <f>'Hareket Girişi'!C17</f>
        <v/>
      </c>
      <c r="D15" s="12">
        <f>'Hareket Girişi'!D17</f>
        <v/>
      </c>
      <c r="E15" s="12">
        <f>'Hareket Girişi'!E17</f>
        <v/>
      </c>
      <c r="F15" s="12">
        <f>IF(A15="","",F14+D15-E15)</f>
        <v/>
      </c>
    </row>
    <row r="16">
      <c r="A16" s="11">
        <f>'Hareket Girişi'!A18</f>
        <v/>
      </c>
      <c r="B16">
        <f>'Hareket Girişi'!B18</f>
        <v/>
      </c>
      <c r="C16">
        <f>'Hareket Girişi'!C18</f>
        <v/>
      </c>
      <c r="D16" s="12">
        <f>'Hareket Girişi'!D18</f>
        <v/>
      </c>
      <c r="E16" s="12">
        <f>'Hareket Girişi'!E18</f>
        <v/>
      </c>
      <c r="F16" s="12">
        <f>IF(A16="","",F15+D16-E16)</f>
        <v/>
      </c>
    </row>
    <row r="17">
      <c r="A17" s="11">
        <f>'Hareket Girişi'!A19</f>
        <v/>
      </c>
      <c r="B17">
        <f>'Hareket Girişi'!B19</f>
        <v/>
      </c>
      <c r="C17">
        <f>'Hareket Girişi'!C19</f>
        <v/>
      </c>
      <c r="D17" s="12">
        <f>'Hareket Girişi'!D19</f>
        <v/>
      </c>
      <c r="E17" s="12">
        <f>'Hareket Girişi'!E19</f>
        <v/>
      </c>
      <c r="F17" s="12">
        <f>IF(A17="","",F16+D17-E17)</f>
        <v/>
      </c>
    </row>
    <row r="18">
      <c r="A18" s="11">
        <f>'Hareket Girişi'!A20</f>
        <v/>
      </c>
      <c r="B18">
        <f>'Hareket Girişi'!B20</f>
        <v/>
      </c>
      <c r="C18">
        <f>'Hareket Girişi'!C20</f>
        <v/>
      </c>
      <c r="D18" s="12">
        <f>'Hareket Girişi'!D20</f>
        <v/>
      </c>
      <c r="E18" s="12">
        <f>'Hareket Girişi'!E20</f>
        <v/>
      </c>
      <c r="F18" s="12">
        <f>IF(A18="","",F17+D18-E18)</f>
        <v/>
      </c>
    </row>
    <row r="19">
      <c r="A19" s="11">
        <f>'Hareket Girişi'!A21</f>
        <v/>
      </c>
      <c r="B19">
        <f>'Hareket Girişi'!B21</f>
        <v/>
      </c>
      <c r="C19">
        <f>'Hareket Girişi'!C21</f>
        <v/>
      </c>
      <c r="D19" s="12">
        <f>'Hareket Girişi'!D21</f>
        <v/>
      </c>
      <c r="E19" s="12">
        <f>'Hareket Girişi'!E21</f>
        <v/>
      </c>
      <c r="F19" s="12">
        <f>IF(A19="","",F18+D19-E19)</f>
        <v/>
      </c>
    </row>
    <row r="20">
      <c r="A20" s="11">
        <f>'Hareket Girişi'!A22</f>
        <v/>
      </c>
      <c r="B20">
        <f>'Hareket Girişi'!B22</f>
        <v/>
      </c>
      <c r="C20">
        <f>'Hareket Girişi'!C22</f>
        <v/>
      </c>
      <c r="D20" s="12">
        <f>'Hareket Girişi'!D22</f>
        <v/>
      </c>
      <c r="E20" s="12">
        <f>'Hareket Girişi'!E22</f>
        <v/>
      </c>
      <c r="F20" s="12">
        <f>IF(A20="","",F19+D20-E20)</f>
        <v/>
      </c>
    </row>
    <row r="21">
      <c r="A21" s="11">
        <f>'Hareket Girişi'!A23</f>
        <v/>
      </c>
      <c r="B21">
        <f>'Hareket Girişi'!B23</f>
        <v/>
      </c>
      <c r="C21">
        <f>'Hareket Girişi'!C23</f>
        <v/>
      </c>
      <c r="D21" s="12">
        <f>'Hareket Girişi'!D23</f>
        <v/>
      </c>
      <c r="E21" s="12">
        <f>'Hareket Girişi'!E23</f>
        <v/>
      </c>
      <c r="F21" s="12">
        <f>IF(A21="","",F20+D21-E21)</f>
        <v/>
      </c>
    </row>
    <row r="22">
      <c r="A22" s="11">
        <f>'Hareket Girişi'!A24</f>
        <v/>
      </c>
      <c r="B22">
        <f>'Hareket Girişi'!B24</f>
        <v/>
      </c>
      <c r="C22">
        <f>'Hareket Girişi'!C24</f>
        <v/>
      </c>
      <c r="D22" s="12">
        <f>'Hareket Girişi'!D24</f>
        <v/>
      </c>
      <c r="E22" s="12">
        <f>'Hareket Girişi'!E24</f>
        <v/>
      </c>
      <c r="F22" s="12">
        <f>IF(A22="","",F21+D22-E22)</f>
        <v/>
      </c>
    </row>
    <row r="23">
      <c r="A23" s="11">
        <f>'Hareket Girişi'!A25</f>
        <v/>
      </c>
      <c r="B23">
        <f>'Hareket Girişi'!B25</f>
        <v/>
      </c>
      <c r="C23">
        <f>'Hareket Girişi'!C25</f>
        <v/>
      </c>
      <c r="D23" s="12">
        <f>'Hareket Girişi'!D25</f>
        <v/>
      </c>
      <c r="E23" s="12">
        <f>'Hareket Girişi'!E25</f>
        <v/>
      </c>
      <c r="F23" s="12">
        <f>IF(A23="","",F22+D23-E23)</f>
        <v/>
      </c>
    </row>
    <row r="24">
      <c r="A24" s="11">
        <f>'Hareket Girişi'!A26</f>
        <v/>
      </c>
      <c r="B24">
        <f>'Hareket Girişi'!B26</f>
        <v/>
      </c>
      <c r="C24">
        <f>'Hareket Girişi'!C26</f>
        <v/>
      </c>
      <c r="D24" s="12">
        <f>'Hareket Girişi'!D26</f>
        <v/>
      </c>
      <c r="E24" s="12">
        <f>'Hareket Girişi'!E26</f>
        <v/>
      </c>
      <c r="F24" s="12">
        <f>IF(A24="","",F23+D24-E24)</f>
        <v/>
      </c>
    </row>
    <row r="25">
      <c r="A25" s="11">
        <f>'Hareket Girişi'!A27</f>
        <v/>
      </c>
      <c r="B25">
        <f>'Hareket Girişi'!B27</f>
        <v/>
      </c>
      <c r="C25">
        <f>'Hareket Girişi'!C27</f>
        <v/>
      </c>
      <c r="D25" s="12">
        <f>'Hareket Girişi'!D27</f>
        <v/>
      </c>
      <c r="E25" s="12">
        <f>'Hareket Girişi'!E27</f>
        <v/>
      </c>
      <c r="F25" s="12">
        <f>IF(A25="","",F24+D25-E25)</f>
        <v/>
      </c>
    </row>
    <row r="26">
      <c r="A26" s="11">
        <f>'Hareket Girişi'!A28</f>
        <v/>
      </c>
      <c r="B26">
        <f>'Hareket Girişi'!B28</f>
        <v/>
      </c>
      <c r="C26">
        <f>'Hareket Girişi'!C28</f>
        <v/>
      </c>
      <c r="D26" s="12">
        <f>'Hareket Girişi'!D28</f>
        <v/>
      </c>
      <c r="E26" s="12">
        <f>'Hareket Girişi'!E28</f>
        <v/>
      </c>
      <c r="F26" s="12">
        <f>IF(A26="","",F25+D26-E26)</f>
        <v/>
      </c>
    </row>
    <row r="27">
      <c r="A27" s="11">
        <f>'Hareket Girişi'!A29</f>
        <v/>
      </c>
      <c r="B27">
        <f>'Hareket Girişi'!B29</f>
        <v/>
      </c>
      <c r="C27">
        <f>'Hareket Girişi'!C29</f>
        <v/>
      </c>
      <c r="D27" s="12">
        <f>'Hareket Girişi'!D29</f>
        <v/>
      </c>
      <c r="E27" s="12">
        <f>'Hareket Girişi'!E29</f>
        <v/>
      </c>
      <c r="F27" s="12">
        <f>IF(A27="","",F26+D27-E27)</f>
        <v/>
      </c>
    </row>
    <row r="28">
      <c r="A28" s="11">
        <f>'Hareket Girişi'!A30</f>
        <v/>
      </c>
      <c r="B28">
        <f>'Hareket Girişi'!B30</f>
        <v/>
      </c>
      <c r="C28">
        <f>'Hareket Girişi'!C30</f>
        <v/>
      </c>
      <c r="D28" s="12">
        <f>'Hareket Girişi'!D30</f>
        <v/>
      </c>
      <c r="E28" s="12">
        <f>'Hareket Girişi'!E30</f>
        <v/>
      </c>
      <c r="F28" s="12">
        <f>IF(A28="","",F27+D28-E28)</f>
        <v/>
      </c>
    </row>
    <row r="29">
      <c r="A29" s="11">
        <f>'Hareket Girişi'!A31</f>
        <v/>
      </c>
      <c r="B29">
        <f>'Hareket Girişi'!B31</f>
        <v/>
      </c>
      <c r="C29">
        <f>'Hareket Girişi'!C31</f>
        <v/>
      </c>
      <c r="D29" s="12">
        <f>'Hareket Girişi'!D31</f>
        <v/>
      </c>
      <c r="E29" s="12">
        <f>'Hareket Girişi'!E31</f>
        <v/>
      </c>
      <c r="F29" s="12">
        <f>IF(A29="","",F28+D29-E29)</f>
        <v/>
      </c>
    </row>
    <row r="30">
      <c r="A30" s="11">
        <f>'Hareket Girişi'!A32</f>
        <v/>
      </c>
      <c r="B30">
        <f>'Hareket Girişi'!B32</f>
        <v/>
      </c>
      <c r="C30">
        <f>'Hareket Girişi'!C32</f>
        <v/>
      </c>
      <c r="D30" s="12">
        <f>'Hareket Girişi'!D32</f>
        <v/>
      </c>
      <c r="E30" s="12">
        <f>'Hareket Girişi'!E32</f>
        <v/>
      </c>
      <c r="F30" s="12">
        <f>IF(A30="","",F29+D30-E30)</f>
        <v/>
      </c>
    </row>
    <row r="31">
      <c r="A31" s="11">
        <f>'Hareket Girişi'!A33</f>
        <v/>
      </c>
      <c r="B31">
        <f>'Hareket Girişi'!B33</f>
        <v/>
      </c>
      <c r="C31">
        <f>'Hareket Girişi'!C33</f>
        <v/>
      </c>
      <c r="D31" s="12">
        <f>'Hareket Girişi'!D33</f>
        <v/>
      </c>
      <c r="E31" s="12">
        <f>'Hareket Girişi'!E33</f>
        <v/>
      </c>
      <c r="F31" s="12">
        <f>IF(A31="","",F30+D31-E31)</f>
        <v/>
      </c>
    </row>
    <row r="32">
      <c r="A32" s="11">
        <f>'Hareket Girişi'!A34</f>
        <v/>
      </c>
      <c r="B32">
        <f>'Hareket Girişi'!B34</f>
        <v/>
      </c>
      <c r="C32">
        <f>'Hareket Girişi'!C34</f>
        <v/>
      </c>
      <c r="D32" s="12">
        <f>'Hareket Girişi'!D34</f>
        <v/>
      </c>
      <c r="E32" s="12">
        <f>'Hareket Girişi'!E34</f>
        <v/>
      </c>
      <c r="F32" s="12">
        <f>IF(A32="","",F31+D32-E32)</f>
        <v/>
      </c>
    </row>
    <row r="33">
      <c r="A33" s="11">
        <f>'Hareket Girişi'!A35</f>
        <v/>
      </c>
      <c r="B33">
        <f>'Hareket Girişi'!B35</f>
        <v/>
      </c>
      <c r="C33">
        <f>'Hareket Girişi'!C35</f>
        <v/>
      </c>
      <c r="D33" s="12">
        <f>'Hareket Girişi'!D35</f>
        <v/>
      </c>
      <c r="E33" s="12">
        <f>'Hareket Girişi'!E35</f>
        <v/>
      </c>
      <c r="F33" s="12">
        <f>IF(A33="","",F32+D33-E33)</f>
        <v/>
      </c>
    </row>
    <row r="34">
      <c r="A34" s="11">
        <f>'Hareket Girişi'!A36</f>
        <v/>
      </c>
      <c r="B34">
        <f>'Hareket Girişi'!B36</f>
        <v/>
      </c>
      <c r="C34">
        <f>'Hareket Girişi'!C36</f>
        <v/>
      </c>
      <c r="D34" s="12">
        <f>'Hareket Girişi'!D36</f>
        <v/>
      </c>
      <c r="E34" s="12">
        <f>'Hareket Girişi'!E36</f>
        <v/>
      </c>
      <c r="F34" s="12">
        <f>IF(A34="","",F33+D34-E34)</f>
        <v/>
      </c>
    </row>
    <row r="35">
      <c r="A35" s="11">
        <f>'Hareket Girişi'!A37</f>
        <v/>
      </c>
      <c r="B35">
        <f>'Hareket Girişi'!B37</f>
        <v/>
      </c>
      <c r="C35">
        <f>'Hareket Girişi'!C37</f>
        <v/>
      </c>
      <c r="D35" s="12">
        <f>'Hareket Girişi'!D37</f>
        <v/>
      </c>
      <c r="E35" s="12">
        <f>'Hareket Girişi'!E37</f>
        <v/>
      </c>
      <c r="F35" s="12">
        <f>IF(A35="","",F34+D35-E35)</f>
        <v/>
      </c>
    </row>
    <row r="36">
      <c r="A36" s="11">
        <f>'Hareket Girişi'!A38</f>
        <v/>
      </c>
      <c r="B36">
        <f>'Hareket Girişi'!B38</f>
        <v/>
      </c>
      <c r="C36">
        <f>'Hareket Girişi'!C38</f>
        <v/>
      </c>
      <c r="D36" s="12">
        <f>'Hareket Girişi'!D38</f>
        <v/>
      </c>
      <c r="E36" s="12">
        <f>'Hareket Girişi'!E38</f>
        <v/>
      </c>
      <c r="F36" s="12">
        <f>IF(A36="","",F35+D36-E36)</f>
        <v/>
      </c>
    </row>
    <row r="37">
      <c r="A37" s="11">
        <f>'Hareket Girişi'!A39</f>
        <v/>
      </c>
      <c r="B37">
        <f>'Hareket Girişi'!B39</f>
        <v/>
      </c>
      <c r="C37">
        <f>'Hareket Girişi'!C39</f>
        <v/>
      </c>
      <c r="D37" s="12">
        <f>'Hareket Girişi'!D39</f>
        <v/>
      </c>
      <c r="E37" s="12">
        <f>'Hareket Girişi'!E39</f>
        <v/>
      </c>
      <c r="F37" s="12">
        <f>IF(A37="","",F36+D37-E37)</f>
        <v/>
      </c>
    </row>
    <row r="38">
      <c r="A38" s="11">
        <f>'Hareket Girişi'!A40</f>
        <v/>
      </c>
      <c r="B38">
        <f>'Hareket Girişi'!B40</f>
        <v/>
      </c>
      <c r="C38">
        <f>'Hareket Girişi'!C40</f>
        <v/>
      </c>
      <c r="D38" s="12">
        <f>'Hareket Girişi'!D40</f>
        <v/>
      </c>
      <c r="E38" s="12">
        <f>'Hareket Girişi'!E40</f>
        <v/>
      </c>
      <c r="F38" s="12">
        <f>IF(A38="","",F37+D38-E38)</f>
        <v/>
      </c>
    </row>
    <row r="39">
      <c r="A39" s="11">
        <f>'Hareket Girişi'!A41</f>
        <v/>
      </c>
      <c r="B39">
        <f>'Hareket Girişi'!B41</f>
        <v/>
      </c>
      <c r="C39">
        <f>'Hareket Girişi'!C41</f>
        <v/>
      </c>
      <c r="D39" s="12">
        <f>'Hareket Girişi'!D41</f>
        <v/>
      </c>
      <c r="E39" s="12">
        <f>'Hareket Girişi'!E41</f>
        <v/>
      </c>
      <c r="F39" s="12">
        <f>IF(A39="","",F38+D39-E39)</f>
        <v/>
      </c>
    </row>
    <row r="40">
      <c r="A40" s="11">
        <f>'Hareket Girişi'!A42</f>
        <v/>
      </c>
      <c r="B40">
        <f>'Hareket Girişi'!B42</f>
        <v/>
      </c>
      <c r="C40">
        <f>'Hareket Girişi'!C42</f>
        <v/>
      </c>
      <c r="D40" s="12">
        <f>'Hareket Girişi'!D42</f>
        <v/>
      </c>
      <c r="E40" s="12">
        <f>'Hareket Girişi'!E42</f>
        <v/>
      </c>
      <c r="F40" s="12">
        <f>IF(A40="","",F39+D40-E40)</f>
        <v/>
      </c>
    </row>
    <row r="41">
      <c r="A41" s="11">
        <f>'Hareket Girişi'!A43</f>
        <v/>
      </c>
      <c r="B41">
        <f>'Hareket Girişi'!B43</f>
        <v/>
      </c>
      <c r="C41">
        <f>'Hareket Girişi'!C43</f>
        <v/>
      </c>
      <c r="D41" s="12">
        <f>'Hareket Girişi'!D43</f>
        <v/>
      </c>
      <c r="E41" s="12">
        <f>'Hareket Girişi'!E43</f>
        <v/>
      </c>
      <c r="F41" s="12">
        <f>IF(A41="","",F40+D41-E41)</f>
        <v/>
      </c>
    </row>
    <row r="42">
      <c r="A42" s="11">
        <f>'Hareket Girişi'!A44</f>
        <v/>
      </c>
      <c r="B42">
        <f>'Hareket Girişi'!B44</f>
        <v/>
      </c>
      <c r="C42">
        <f>'Hareket Girişi'!C44</f>
        <v/>
      </c>
      <c r="D42" s="12">
        <f>'Hareket Girişi'!D44</f>
        <v/>
      </c>
      <c r="E42" s="12">
        <f>'Hareket Girişi'!E44</f>
        <v/>
      </c>
      <c r="F42" s="12">
        <f>IF(A42="","",F41+D42-E42)</f>
        <v/>
      </c>
    </row>
    <row r="43">
      <c r="A43" s="11">
        <f>'Hareket Girişi'!A45</f>
        <v/>
      </c>
      <c r="B43">
        <f>'Hareket Girişi'!B45</f>
        <v/>
      </c>
      <c r="C43">
        <f>'Hareket Girişi'!C45</f>
        <v/>
      </c>
      <c r="D43" s="12">
        <f>'Hareket Girişi'!D45</f>
        <v/>
      </c>
      <c r="E43" s="12">
        <f>'Hareket Girişi'!E45</f>
        <v/>
      </c>
      <c r="F43" s="12">
        <f>IF(A43="","",F42+D43-E43)</f>
        <v/>
      </c>
    </row>
    <row r="44">
      <c r="A44" s="11">
        <f>'Hareket Girişi'!A46</f>
        <v/>
      </c>
      <c r="B44">
        <f>'Hareket Girişi'!B46</f>
        <v/>
      </c>
      <c r="C44">
        <f>'Hareket Girişi'!C46</f>
        <v/>
      </c>
      <c r="D44" s="12">
        <f>'Hareket Girişi'!D46</f>
        <v/>
      </c>
      <c r="E44" s="12">
        <f>'Hareket Girişi'!E46</f>
        <v/>
      </c>
      <c r="F44" s="12">
        <f>IF(A44="","",F43+D44-E44)</f>
        <v/>
      </c>
    </row>
    <row r="45">
      <c r="A45" s="11">
        <f>'Hareket Girişi'!A47</f>
        <v/>
      </c>
      <c r="B45">
        <f>'Hareket Girişi'!B47</f>
        <v/>
      </c>
      <c r="C45">
        <f>'Hareket Girişi'!C47</f>
        <v/>
      </c>
      <c r="D45" s="12">
        <f>'Hareket Girişi'!D47</f>
        <v/>
      </c>
      <c r="E45" s="12">
        <f>'Hareket Girişi'!E47</f>
        <v/>
      </c>
      <c r="F45" s="12">
        <f>IF(A45="","",F44+D45-E45)</f>
        <v/>
      </c>
    </row>
    <row r="46">
      <c r="A46" s="11">
        <f>'Hareket Girişi'!A48</f>
        <v/>
      </c>
      <c r="B46">
        <f>'Hareket Girişi'!B48</f>
        <v/>
      </c>
      <c r="C46">
        <f>'Hareket Girişi'!C48</f>
        <v/>
      </c>
      <c r="D46" s="12">
        <f>'Hareket Girişi'!D48</f>
        <v/>
      </c>
      <c r="E46" s="12">
        <f>'Hareket Girişi'!E48</f>
        <v/>
      </c>
      <c r="F46" s="12">
        <f>IF(A46="","",F45+D46-E46)</f>
        <v/>
      </c>
    </row>
    <row r="47">
      <c r="A47" s="11">
        <f>'Hareket Girişi'!A49</f>
        <v/>
      </c>
      <c r="B47">
        <f>'Hareket Girişi'!B49</f>
        <v/>
      </c>
      <c r="C47">
        <f>'Hareket Girişi'!C49</f>
        <v/>
      </c>
      <c r="D47" s="12">
        <f>'Hareket Girişi'!D49</f>
        <v/>
      </c>
      <c r="E47" s="12">
        <f>'Hareket Girişi'!E49</f>
        <v/>
      </c>
      <c r="F47" s="12">
        <f>IF(A47="","",F46+D47-E47)</f>
        <v/>
      </c>
    </row>
    <row r="48">
      <c r="A48" s="11">
        <f>'Hareket Girişi'!A50</f>
        <v/>
      </c>
      <c r="B48">
        <f>'Hareket Girişi'!B50</f>
        <v/>
      </c>
      <c r="C48">
        <f>'Hareket Girişi'!C50</f>
        <v/>
      </c>
      <c r="D48" s="12">
        <f>'Hareket Girişi'!D50</f>
        <v/>
      </c>
      <c r="E48" s="12">
        <f>'Hareket Girişi'!E50</f>
        <v/>
      </c>
      <c r="F48" s="12">
        <f>IF(A48="","",F47+D48-E48)</f>
        <v/>
      </c>
    </row>
    <row r="49">
      <c r="A49" s="11">
        <f>'Hareket Girişi'!A51</f>
        <v/>
      </c>
      <c r="B49">
        <f>'Hareket Girişi'!B51</f>
        <v/>
      </c>
      <c r="C49">
        <f>'Hareket Girişi'!C51</f>
        <v/>
      </c>
      <c r="D49" s="12">
        <f>'Hareket Girişi'!D51</f>
        <v/>
      </c>
      <c r="E49" s="12">
        <f>'Hareket Girişi'!E51</f>
        <v/>
      </c>
      <c r="F49" s="12">
        <f>IF(A49="","",F48+D49-E49)</f>
        <v/>
      </c>
    </row>
    <row r="50">
      <c r="A50" s="11">
        <f>'Hareket Girişi'!A52</f>
        <v/>
      </c>
      <c r="B50">
        <f>'Hareket Girişi'!B52</f>
        <v/>
      </c>
      <c r="C50">
        <f>'Hareket Girişi'!C52</f>
        <v/>
      </c>
      <c r="D50" s="12">
        <f>'Hareket Girişi'!D52</f>
        <v/>
      </c>
      <c r="E50" s="12">
        <f>'Hareket Girişi'!E52</f>
        <v/>
      </c>
      <c r="F50" s="12">
        <f>IF(A50="","",F49+D50-E50)</f>
        <v/>
      </c>
    </row>
    <row r="51">
      <c r="A51" s="11">
        <f>'Hareket Girişi'!A53</f>
        <v/>
      </c>
      <c r="B51">
        <f>'Hareket Girişi'!B53</f>
        <v/>
      </c>
      <c r="C51">
        <f>'Hareket Girişi'!C53</f>
        <v/>
      </c>
      <c r="D51" s="12">
        <f>'Hareket Girişi'!D53</f>
        <v/>
      </c>
      <c r="E51" s="12">
        <f>'Hareket Girişi'!E53</f>
        <v/>
      </c>
      <c r="F51" s="12">
        <f>IF(A51="","",F50+D51-E51)</f>
        <v/>
      </c>
    </row>
    <row r="52">
      <c r="A52" s="11">
        <f>'Hareket Girişi'!A54</f>
        <v/>
      </c>
      <c r="B52">
        <f>'Hareket Girişi'!B54</f>
        <v/>
      </c>
      <c r="C52">
        <f>'Hareket Girişi'!C54</f>
        <v/>
      </c>
      <c r="D52" s="12">
        <f>'Hareket Girişi'!D54</f>
        <v/>
      </c>
      <c r="E52" s="12">
        <f>'Hareket Girişi'!E54</f>
        <v/>
      </c>
      <c r="F52" s="12">
        <f>IF(A52="","",F51+D52-E52)</f>
        <v/>
      </c>
    </row>
    <row r="53">
      <c r="A53" s="11">
        <f>'Hareket Girişi'!A55</f>
        <v/>
      </c>
      <c r="B53">
        <f>'Hareket Girişi'!B55</f>
        <v/>
      </c>
      <c r="C53">
        <f>'Hareket Girişi'!C55</f>
        <v/>
      </c>
      <c r="D53" s="12">
        <f>'Hareket Girişi'!D55</f>
        <v/>
      </c>
      <c r="E53" s="12">
        <f>'Hareket Girişi'!E55</f>
        <v/>
      </c>
      <c r="F53" s="12">
        <f>IF(A53="","",F52+D53-E53)</f>
        <v/>
      </c>
    </row>
    <row r="54">
      <c r="A54" s="11">
        <f>'Hareket Girişi'!A56</f>
        <v/>
      </c>
      <c r="B54">
        <f>'Hareket Girişi'!B56</f>
        <v/>
      </c>
      <c r="C54">
        <f>'Hareket Girişi'!C56</f>
        <v/>
      </c>
      <c r="D54" s="12">
        <f>'Hareket Girişi'!D56</f>
        <v/>
      </c>
      <c r="E54" s="12">
        <f>'Hareket Girişi'!E56</f>
        <v/>
      </c>
      <c r="F54" s="12">
        <f>IF(A54="","",F53+D54-E54)</f>
        <v/>
      </c>
    </row>
    <row r="55">
      <c r="A55" s="11">
        <f>'Hareket Girişi'!A57</f>
        <v/>
      </c>
      <c r="B55">
        <f>'Hareket Girişi'!B57</f>
        <v/>
      </c>
      <c r="C55">
        <f>'Hareket Girişi'!C57</f>
        <v/>
      </c>
      <c r="D55" s="12">
        <f>'Hareket Girişi'!D57</f>
        <v/>
      </c>
      <c r="E55" s="12">
        <f>'Hareket Girişi'!E57</f>
        <v/>
      </c>
      <c r="F55" s="12">
        <f>IF(A55="","",F54+D55-E55)</f>
        <v/>
      </c>
    </row>
    <row r="56">
      <c r="A56" s="11">
        <f>'Hareket Girişi'!A58</f>
        <v/>
      </c>
      <c r="B56">
        <f>'Hareket Girişi'!B58</f>
        <v/>
      </c>
      <c r="C56">
        <f>'Hareket Girişi'!C58</f>
        <v/>
      </c>
      <c r="D56" s="12">
        <f>'Hareket Girişi'!D58</f>
        <v/>
      </c>
      <c r="E56" s="12">
        <f>'Hareket Girişi'!E58</f>
        <v/>
      </c>
      <c r="F56" s="12">
        <f>IF(A56="","",F55+D56-E56)</f>
        <v/>
      </c>
    </row>
    <row r="57">
      <c r="A57" s="11">
        <f>'Hareket Girişi'!A59</f>
        <v/>
      </c>
      <c r="B57">
        <f>'Hareket Girişi'!B59</f>
        <v/>
      </c>
      <c r="C57">
        <f>'Hareket Girişi'!C59</f>
        <v/>
      </c>
      <c r="D57" s="12">
        <f>'Hareket Girişi'!D59</f>
        <v/>
      </c>
      <c r="E57" s="12">
        <f>'Hareket Girişi'!E59</f>
        <v/>
      </c>
      <c r="F57" s="12">
        <f>IF(A57="","",F56+D57-E57)</f>
        <v/>
      </c>
    </row>
    <row r="58">
      <c r="A58" s="11">
        <f>'Hareket Girişi'!A60</f>
        <v/>
      </c>
      <c r="B58">
        <f>'Hareket Girişi'!B60</f>
        <v/>
      </c>
      <c r="C58">
        <f>'Hareket Girişi'!C60</f>
        <v/>
      </c>
      <c r="D58" s="12">
        <f>'Hareket Girişi'!D60</f>
        <v/>
      </c>
      <c r="E58" s="12">
        <f>'Hareket Girişi'!E60</f>
        <v/>
      </c>
      <c r="F58" s="12">
        <f>IF(A58="","",F57+D58-E58)</f>
        <v/>
      </c>
    </row>
    <row r="59">
      <c r="A59" s="11">
        <f>'Hareket Girişi'!A61</f>
        <v/>
      </c>
      <c r="B59">
        <f>'Hareket Girişi'!B61</f>
        <v/>
      </c>
      <c r="C59">
        <f>'Hareket Girişi'!C61</f>
        <v/>
      </c>
      <c r="D59" s="12">
        <f>'Hareket Girişi'!D61</f>
        <v/>
      </c>
      <c r="E59" s="12">
        <f>'Hareket Girişi'!E61</f>
        <v/>
      </c>
      <c r="F59" s="12">
        <f>IF(A59="","",F58+D59-E59)</f>
        <v/>
      </c>
    </row>
    <row r="60">
      <c r="A60" s="11">
        <f>'Hareket Girişi'!A62</f>
        <v/>
      </c>
      <c r="B60">
        <f>'Hareket Girişi'!B62</f>
        <v/>
      </c>
      <c r="C60">
        <f>'Hareket Girişi'!C62</f>
        <v/>
      </c>
      <c r="D60" s="12">
        <f>'Hareket Girişi'!D62</f>
        <v/>
      </c>
      <c r="E60" s="12">
        <f>'Hareket Girişi'!E62</f>
        <v/>
      </c>
      <c r="F60" s="12">
        <f>IF(A60="","",F59+D60-E60)</f>
        <v/>
      </c>
    </row>
    <row r="61">
      <c r="A61" s="11">
        <f>'Hareket Girişi'!A63</f>
        <v/>
      </c>
      <c r="B61">
        <f>'Hareket Girişi'!B63</f>
        <v/>
      </c>
      <c r="C61">
        <f>'Hareket Girişi'!C63</f>
        <v/>
      </c>
      <c r="D61" s="12">
        <f>'Hareket Girişi'!D63</f>
        <v/>
      </c>
      <c r="E61" s="12">
        <f>'Hareket Girişi'!E63</f>
        <v/>
      </c>
      <c r="F61" s="12">
        <f>IF(A61="","",F60+D61-E61)</f>
        <v/>
      </c>
    </row>
    <row r="62">
      <c r="A62" s="11">
        <f>'Hareket Girişi'!A64</f>
        <v/>
      </c>
      <c r="B62">
        <f>'Hareket Girişi'!B64</f>
        <v/>
      </c>
      <c r="C62">
        <f>'Hareket Girişi'!C64</f>
        <v/>
      </c>
      <c r="D62" s="12">
        <f>'Hareket Girişi'!D64</f>
        <v/>
      </c>
      <c r="E62" s="12">
        <f>'Hareket Girişi'!E64</f>
        <v/>
      </c>
      <c r="F62" s="12">
        <f>IF(A62="","",F61+D62-E62)</f>
        <v/>
      </c>
    </row>
    <row r="63">
      <c r="A63" s="11">
        <f>'Hareket Girişi'!A65</f>
        <v/>
      </c>
      <c r="B63">
        <f>'Hareket Girişi'!B65</f>
        <v/>
      </c>
      <c r="C63">
        <f>'Hareket Girişi'!C65</f>
        <v/>
      </c>
      <c r="D63" s="12">
        <f>'Hareket Girişi'!D65</f>
        <v/>
      </c>
      <c r="E63" s="12">
        <f>'Hareket Girişi'!E65</f>
        <v/>
      </c>
      <c r="F63" s="12">
        <f>IF(A63="","",F62+D63-E63)</f>
        <v/>
      </c>
    </row>
    <row r="64">
      <c r="A64" s="11">
        <f>'Hareket Girişi'!A66</f>
        <v/>
      </c>
      <c r="B64">
        <f>'Hareket Girişi'!B66</f>
        <v/>
      </c>
      <c r="C64">
        <f>'Hareket Girişi'!C66</f>
        <v/>
      </c>
      <c r="D64" s="12">
        <f>'Hareket Girişi'!D66</f>
        <v/>
      </c>
      <c r="E64" s="12">
        <f>'Hareket Girişi'!E66</f>
        <v/>
      </c>
      <c r="F64" s="12">
        <f>IF(A64="","",F63+D64-E64)</f>
        <v/>
      </c>
    </row>
    <row r="65">
      <c r="A65" s="11">
        <f>'Hareket Girişi'!A67</f>
        <v/>
      </c>
      <c r="B65">
        <f>'Hareket Girişi'!B67</f>
        <v/>
      </c>
      <c r="C65">
        <f>'Hareket Girişi'!C67</f>
        <v/>
      </c>
      <c r="D65" s="12">
        <f>'Hareket Girişi'!D67</f>
        <v/>
      </c>
      <c r="E65" s="12">
        <f>'Hareket Girişi'!E67</f>
        <v/>
      </c>
      <c r="F65" s="12">
        <f>IF(A65="","",F64+D65-E65)</f>
        <v/>
      </c>
    </row>
    <row r="66">
      <c r="A66" s="11">
        <f>'Hareket Girişi'!A68</f>
        <v/>
      </c>
      <c r="B66">
        <f>'Hareket Girişi'!B68</f>
        <v/>
      </c>
      <c r="C66">
        <f>'Hareket Girişi'!C68</f>
        <v/>
      </c>
      <c r="D66" s="12">
        <f>'Hareket Girişi'!D68</f>
        <v/>
      </c>
      <c r="E66" s="12">
        <f>'Hareket Girişi'!E68</f>
        <v/>
      </c>
      <c r="F66" s="12">
        <f>IF(A66="","",F65+D66-E66)</f>
        <v/>
      </c>
    </row>
    <row r="67">
      <c r="A67" s="11">
        <f>'Hareket Girişi'!A69</f>
        <v/>
      </c>
      <c r="B67">
        <f>'Hareket Girişi'!B69</f>
        <v/>
      </c>
      <c r="C67">
        <f>'Hareket Girişi'!C69</f>
        <v/>
      </c>
      <c r="D67" s="12">
        <f>'Hareket Girişi'!D69</f>
        <v/>
      </c>
      <c r="E67" s="12">
        <f>'Hareket Girişi'!E69</f>
        <v/>
      </c>
      <c r="F67" s="12">
        <f>IF(A67="","",F66+D67-E67)</f>
        <v/>
      </c>
    </row>
    <row r="68">
      <c r="A68" s="11">
        <f>'Hareket Girişi'!A70</f>
        <v/>
      </c>
      <c r="B68">
        <f>'Hareket Girişi'!B70</f>
        <v/>
      </c>
      <c r="C68">
        <f>'Hareket Girişi'!C70</f>
        <v/>
      </c>
      <c r="D68" s="12">
        <f>'Hareket Girişi'!D70</f>
        <v/>
      </c>
      <c r="E68" s="12">
        <f>'Hareket Girişi'!E70</f>
        <v/>
      </c>
      <c r="F68" s="12">
        <f>IF(A68="","",F67+D68-E68)</f>
        <v/>
      </c>
    </row>
    <row r="69">
      <c r="A69" s="11">
        <f>'Hareket Girişi'!A71</f>
        <v/>
      </c>
      <c r="B69">
        <f>'Hareket Girişi'!B71</f>
        <v/>
      </c>
      <c r="C69">
        <f>'Hareket Girişi'!C71</f>
        <v/>
      </c>
      <c r="D69" s="12">
        <f>'Hareket Girişi'!D71</f>
        <v/>
      </c>
      <c r="E69" s="12">
        <f>'Hareket Girişi'!E71</f>
        <v/>
      </c>
      <c r="F69" s="12">
        <f>IF(A69="","",F68+D69-E69)</f>
        <v/>
      </c>
    </row>
    <row r="70">
      <c r="A70" s="11">
        <f>'Hareket Girişi'!A72</f>
        <v/>
      </c>
      <c r="B70">
        <f>'Hareket Girişi'!B72</f>
        <v/>
      </c>
      <c r="C70">
        <f>'Hareket Girişi'!C72</f>
        <v/>
      </c>
      <c r="D70" s="12">
        <f>'Hareket Girişi'!D72</f>
        <v/>
      </c>
      <c r="E70" s="12">
        <f>'Hareket Girişi'!E72</f>
        <v/>
      </c>
      <c r="F70" s="12">
        <f>IF(A70="","",F69+D70-E70)</f>
        <v/>
      </c>
    </row>
    <row r="71">
      <c r="A71" s="11">
        <f>'Hareket Girişi'!A73</f>
        <v/>
      </c>
      <c r="B71">
        <f>'Hareket Girişi'!B73</f>
        <v/>
      </c>
      <c r="C71">
        <f>'Hareket Girişi'!C73</f>
        <v/>
      </c>
      <c r="D71" s="12">
        <f>'Hareket Girişi'!D73</f>
        <v/>
      </c>
      <c r="E71" s="12">
        <f>'Hareket Girişi'!E73</f>
        <v/>
      </c>
      <c r="F71" s="12">
        <f>IF(A71="","",F70+D71-E71)</f>
        <v/>
      </c>
    </row>
    <row r="72">
      <c r="A72" s="11">
        <f>'Hareket Girişi'!A74</f>
        <v/>
      </c>
      <c r="B72">
        <f>'Hareket Girişi'!B74</f>
        <v/>
      </c>
      <c r="C72">
        <f>'Hareket Girişi'!C74</f>
        <v/>
      </c>
      <c r="D72" s="12">
        <f>'Hareket Girişi'!D74</f>
        <v/>
      </c>
      <c r="E72" s="12">
        <f>'Hareket Girişi'!E74</f>
        <v/>
      </c>
      <c r="F72" s="12">
        <f>IF(A72="","",F71+D72-E72)</f>
        <v/>
      </c>
    </row>
    <row r="73">
      <c r="A73" s="11">
        <f>'Hareket Girişi'!A75</f>
        <v/>
      </c>
      <c r="B73">
        <f>'Hareket Girişi'!B75</f>
        <v/>
      </c>
      <c r="C73">
        <f>'Hareket Girişi'!C75</f>
        <v/>
      </c>
      <c r="D73" s="12">
        <f>'Hareket Girişi'!D75</f>
        <v/>
      </c>
      <c r="E73" s="12">
        <f>'Hareket Girişi'!E75</f>
        <v/>
      </c>
      <c r="F73" s="12">
        <f>IF(A73="","",F72+D73-E73)</f>
        <v/>
      </c>
    </row>
    <row r="74">
      <c r="A74" s="11">
        <f>'Hareket Girişi'!A76</f>
        <v/>
      </c>
      <c r="B74">
        <f>'Hareket Girişi'!B76</f>
        <v/>
      </c>
      <c r="C74">
        <f>'Hareket Girişi'!C76</f>
        <v/>
      </c>
      <c r="D74" s="12">
        <f>'Hareket Girişi'!D76</f>
        <v/>
      </c>
      <c r="E74" s="12">
        <f>'Hareket Girişi'!E76</f>
        <v/>
      </c>
      <c r="F74" s="12">
        <f>IF(A74="","",F73+D74-E74)</f>
        <v/>
      </c>
    </row>
    <row r="75">
      <c r="A75" s="11">
        <f>'Hareket Girişi'!A77</f>
        <v/>
      </c>
      <c r="B75">
        <f>'Hareket Girişi'!B77</f>
        <v/>
      </c>
      <c r="C75">
        <f>'Hareket Girişi'!C77</f>
        <v/>
      </c>
      <c r="D75" s="12">
        <f>'Hareket Girişi'!D77</f>
        <v/>
      </c>
      <c r="E75" s="12">
        <f>'Hareket Girişi'!E77</f>
        <v/>
      </c>
      <c r="F75" s="12">
        <f>IF(A75="","",F74+D75-E75)</f>
        <v/>
      </c>
    </row>
    <row r="76">
      <c r="A76" s="11">
        <f>'Hareket Girişi'!A78</f>
        <v/>
      </c>
      <c r="B76">
        <f>'Hareket Girişi'!B78</f>
        <v/>
      </c>
      <c r="C76">
        <f>'Hareket Girişi'!C78</f>
        <v/>
      </c>
      <c r="D76" s="12">
        <f>'Hareket Girişi'!D78</f>
        <v/>
      </c>
      <c r="E76" s="12">
        <f>'Hareket Girişi'!E78</f>
        <v/>
      </c>
      <c r="F76" s="12">
        <f>IF(A76="","",F75+D76-E76)</f>
        <v/>
      </c>
    </row>
    <row r="77">
      <c r="A77" s="11">
        <f>'Hareket Girişi'!A79</f>
        <v/>
      </c>
      <c r="B77">
        <f>'Hareket Girişi'!B79</f>
        <v/>
      </c>
      <c r="C77">
        <f>'Hareket Girişi'!C79</f>
        <v/>
      </c>
      <c r="D77" s="12">
        <f>'Hareket Girişi'!D79</f>
        <v/>
      </c>
      <c r="E77" s="12">
        <f>'Hareket Girişi'!E79</f>
        <v/>
      </c>
      <c r="F77" s="12">
        <f>IF(A77="","",F76+D77-E77)</f>
        <v/>
      </c>
    </row>
    <row r="78">
      <c r="A78" s="11">
        <f>'Hareket Girişi'!A80</f>
        <v/>
      </c>
      <c r="B78">
        <f>'Hareket Girişi'!B80</f>
        <v/>
      </c>
      <c r="C78">
        <f>'Hareket Girişi'!C80</f>
        <v/>
      </c>
      <c r="D78" s="12">
        <f>'Hareket Girişi'!D80</f>
        <v/>
      </c>
      <c r="E78" s="12">
        <f>'Hareket Girişi'!E80</f>
        <v/>
      </c>
      <c r="F78" s="12">
        <f>IF(A78="","",F77+D78-E78)</f>
        <v/>
      </c>
    </row>
    <row r="79">
      <c r="A79" s="11">
        <f>'Hareket Girişi'!A81</f>
        <v/>
      </c>
      <c r="B79">
        <f>'Hareket Girişi'!B81</f>
        <v/>
      </c>
      <c r="C79">
        <f>'Hareket Girişi'!C81</f>
        <v/>
      </c>
      <c r="D79" s="12">
        <f>'Hareket Girişi'!D81</f>
        <v/>
      </c>
      <c r="E79" s="12">
        <f>'Hareket Girişi'!E81</f>
        <v/>
      </c>
      <c r="F79" s="12">
        <f>IF(A79="","",F78+D79-E79)</f>
        <v/>
      </c>
    </row>
    <row r="80">
      <c r="A80" s="11">
        <f>'Hareket Girişi'!A82</f>
        <v/>
      </c>
      <c r="B80">
        <f>'Hareket Girişi'!B82</f>
        <v/>
      </c>
      <c r="C80">
        <f>'Hareket Girişi'!C82</f>
        <v/>
      </c>
      <c r="D80" s="12">
        <f>'Hareket Girişi'!D82</f>
        <v/>
      </c>
      <c r="E80" s="12">
        <f>'Hareket Girişi'!E82</f>
        <v/>
      </c>
      <c r="F80" s="12">
        <f>IF(A80="","",F79+D80-E80)</f>
        <v/>
      </c>
    </row>
    <row r="81">
      <c r="A81" s="11">
        <f>'Hareket Girişi'!A83</f>
        <v/>
      </c>
      <c r="B81">
        <f>'Hareket Girişi'!B83</f>
        <v/>
      </c>
      <c r="C81">
        <f>'Hareket Girişi'!C83</f>
        <v/>
      </c>
      <c r="D81" s="12">
        <f>'Hareket Girişi'!D83</f>
        <v/>
      </c>
      <c r="E81" s="12">
        <f>'Hareket Girişi'!E83</f>
        <v/>
      </c>
      <c r="F81" s="12">
        <f>IF(A81="","",F80+D81-E81)</f>
        <v/>
      </c>
    </row>
    <row r="82">
      <c r="A82" s="11">
        <f>'Hareket Girişi'!A84</f>
        <v/>
      </c>
      <c r="B82">
        <f>'Hareket Girişi'!B84</f>
        <v/>
      </c>
      <c r="C82">
        <f>'Hareket Girişi'!C84</f>
        <v/>
      </c>
      <c r="D82" s="12">
        <f>'Hareket Girişi'!D84</f>
        <v/>
      </c>
      <c r="E82" s="12">
        <f>'Hareket Girişi'!E84</f>
        <v/>
      </c>
      <c r="F82" s="12">
        <f>IF(A82="","",F81+D82-E82)</f>
        <v/>
      </c>
    </row>
    <row r="83">
      <c r="A83" s="11">
        <f>'Hareket Girişi'!A85</f>
        <v/>
      </c>
      <c r="B83">
        <f>'Hareket Girişi'!B85</f>
        <v/>
      </c>
      <c r="C83">
        <f>'Hareket Girişi'!C85</f>
        <v/>
      </c>
      <c r="D83" s="12">
        <f>'Hareket Girişi'!D85</f>
        <v/>
      </c>
      <c r="E83" s="12">
        <f>'Hareket Girişi'!E85</f>
        <v/>
      </c>
      <c r="F83" s="12">
        <f>IF(A83="","",F82+D83-E83)</f>
        <v/>
      </c>
    </row>
    <row r="84">
      <c r="A84" s="11">
        <f>'Hareket Girişi'!A86</f>
        <v/>
      </c>
      <c r="B84">
        <f>'Hareket Girişi'!B86</f>
        <v/>
      </c>
      <c r="C84">
        <f>'Hareket Girişi'!C86</f>
        <v/>
      </c>
      <c r="D84" s="12">
        <f>'Hareket Girişi'!D86</f>
        <v/>
      </c>
      <c r="E84" s="12">
        <f>'Hareket Girişi'!E86</f>
        <v/>
      </c>
      <c r="F84" s="12">
        <f>IF(A84="","",F83+D84-E84)</f>
        <v/>
      </c>
    </row>
    <row r="85">
      <c r="A85" s="11">
        <f>'Hareket Girişi'!A87</f>
        <v/>
      </c>
      <c r="B85">
        <f>'Hareket Girişi'!B87</f>
        <v/>
      </c>
      <c r="C85">
        <f>'Hareket Girişi'!C87</f>
        <v/>
      </c>
      <c r="D85" s="12">
        <f>'Hareket Girişi'!D87</f>
        <v/>
      </c>
      <c r="E85" s="12">
        <f>'Hareket Girişi'!E87</f>
        <v/>
      </c>
      <c r="F85" s="12">
        <f>IF(A85="","",F84+D85-E85)</f>
        <v/>
      </c>
    </row>
    <row r="86">
      <c r="A86" s="11">
        <f>'Hareket Girişi'!A88</f>
        <v/>
      </c>
      <c r="B86">
        <f>'Hareket Girişi'!B88</f>
        <v/>
      </c>
      <c r="C86">
        <f>'Hareket Girişi'!C88</f>
        <v/>
      </c>
      <c r="D86" s="12">
        <f>'Hareket Girişi'!D88</f>
        <v/>
      </c>
      <c r="E86" s="12">
        <f>'Hareket Girişi'!E88</f>
        <v/>
      </c>
      <c r="F86" s="12">
        <f>IF(A86="","",F85+D86-E86)</f>
        <v/>
      </c>
    </row>
    <row r="87">
      <c r="A87" s="11">
        <f>'Hareket Girişi'!A89</f>
        <v/>
      </c>
      <c r="B87">
        <f>'Hareket Girişi'!B89</f>
        <v/>
      </c>
      <c r="C87">
        <f>'Hareket Girişi'!C89</f>
        <v/>
      </c>
      <c r="D87" s="12">
        <f>'Hareket Girişi'!D89</f>
        <v/>
      </c>
      <c r="E87" s="12">
        <f>'Hareket Girişi'!E89</f>
        <v/>
      </c>
      <c r="F87" s="12">
        <f>IF(A87="","",F86+D87-E87)</f>
        <v/>
      </c>
    </row>
    <row r="88">
      <c r="A88" s="11">
        <f>'Hareket Girişi'!A90</f>
        <v/>
      </c>
      <c r="B88">
        <f>'Hareket Girişi'!B90</f>
        <v/>
      </c>
      <c r="C88">
        <f>'Hareket Girişi'!C90</f>
        <v/>
      </c>
      <c r="D88" s="12">
        <f>'Hareket Girişi'!D90</f>
        <v/>
      </c>
      <c r="E88" s="12">
        <f>'Hareket Girişi'!E90</f>
        <v/>
      </c>
      <c r="F88" s="12">
        <f>IF(A88="","",F87+D88-E88)</f>
        <v/>
      </c>
    </row>
    <row r="89">
      <c r="A89" s="11">
        <f>'Hareket Girişi'!A91</f>
        <v/>
      </c>
      <c r="B89">
        <f>'Hareket Girişi'!B91</f>
        <v/>
      </c>
      <c r="C89">
        <f>'Hareket Girişi'!C91</f>
        <v/>
      </c>
      <c r="D89" s="12">
        <f>'Hareket Girişi'!D91</f>
        <v/>
      </c>
      <c r="E89" s="12">
        <f>'Hareket Girişi'!E91</f>
        <v/>
      </c>
      <c r="F89" s="12">
        <f>IF(A89="","",F88+D89-E89)</f>
        <v/>
      </c>
    </row>
    <row r="90">
      <c r="A90" s="11">
        <f>'Hareket Girişi'!A92</f>
        <v/>
      </c>
      <c r="B90">
        <f>'Hareket Girişi'!B92</f>
        <v/>
      </c>
      <c r="C90">
        <f>'Hareket Girişi'!C92</f>
        <v/>
      </c>
      <c r="D90" s="12">
        <f>'Hareket Girişi'!D92</f>
        <v/>
      </c>
      <c r="E90" s="12">
        <f>'Hareket Girişi'!E92</f>
        <v/>
      </c>
      <c r="F90" s="12">
        <f>IF(A90="","",F89+D90-E90)</f>
        <v/>
      </c>
    </row>
    <row r="91">
      <c r="A91" s="11">
        <f>'Hareket Girişi'!A93</f>
        <v/>
      </c>
      <c r="B91">
        <f>'Hareket Girişi'!B93</f>
        <v/>
      </c>
      <c r="C91">
        <f>'Hareket Girişi'!C93</f>
        <v/>
      </c>
      <c r="D91" s="12">
        <f>'Hareket Girişi'!D93</f>
        <v/>
      </c>
      <c r="E91" s="12">
        <f>'Hareket Girişi'!E93</f>
        <v/>
      </c>
      <c r="F91" s="12">
        <f>IF(A91="","",F90+D91-E91)</f>
        <v/>
      </c>
    </row>
    <row r="92">
      <c r="A92" s="11">
        <f>'Hareket Girişi'!A94</f>
        <v/>
      </c>
      <c r="B92">
        <f>'Hareket Girişi'!B94</f>
        <v/>
      </c>
      <c r="C92">
        <f>'Hareket Girişi'!C94</f>
        <v/>
      </c>
      <c r="D92" s="12">
        <f>'Hareket Girişi'!D94</f>
        <v/>
      </c>
      <c r="E92" s="12">
        <f>'Hareket Girişi'!E94</f>
        <v/>
      </c>
      <c r="F92" s="12">
        <f>IF(A92="","",F91+D92-E92)</f>
        <v/>
      </c>
    </row>
    <row r="93">
      <c r="A93" s="11">
        <f>'Hareket Girişi'!A95</f>
        <v/>
      </c>
      <c r="B93">
        <f>'Hareket Girişi'!B95</f>
        <v/>
      </c>
      <c r="C93">
        <f>'Hareket Girişi'!C95</f>
        <v/>
      </c>
      <c r="D93" s="12">
        <f>'Hareket Girişi'!D95</f>
        <v/>
      </c>
      <c r="E93" s="12">
        <f>'Hareket Girişi'!E95</f>
        <v/>
      </c>
      <c r="F93" s="12">
        <f>IF(A93="","",F92+D93-E93)</f>
        <v/>
      </c>
    </row>
    <row r="94">
      <c r="A94" s="11">
        <f>'Hareket Girişi'!A96</f>
        <v/>
      </c>
      <c r="B94">
        <f>'Hareket Girişi'!B96</f>
        <v/>
      </c>
      <c r="C94">
        <f>'Hareket Girişi'!C96</f>
        <v/>
      </c>
      <c r="D94" s="12">
        <f>'Hareket Girişi'!D96</f>
        <v/>
      </c>
      <c r="E94" s="12">
        <f>'Hareket Girişi'!E96</f>
        <v/>
      </c>
      <c r="F94" s="12">
        <f>IF(A94="","",F93+D94-E94)</f>
        <v/>
      </c>
    </row>
    <row r="95">
      <c r="A95" s="11">
        <f>'Hareket Girişi'!A97</f>
        <v/>
      </c>
      <c r="B95">
        <f>'Hareket Girişi'!B97</f>
        <v/>
      </c>
      <c r="C95">
        <f>'Hareket Girişi'!C97</f>
        <v/>
      </c>
      <c r="D95" s="12">
        <f>'Hareket Girişi'!D97</f>
        <v/>
      </c>
      <c r="E95" s="12">
        <f>'Hareket Girişi'!E97</f>
        <v/>
      </c>
      <c r="F95" s="12">
        <f>IF(A95="","",F94+D95-E95)</f>
        <v/>
      </c>
    </row>
    <row r="96">
      <c r="A96" s="11">
        <f>'Hareket Girişi'!A98</f>
        <v/>
      </c>
      <c r="B96">
        <f>'Hareket Girişi'!B98</f>
        <v/>
      </c>
      <c r="C96">
        <f>'Hareket Girişi'!C98</f>
        <v/>
      </c>
      <c r="D96" s="12">
        <f>'Hareket Girişi'!D98</f>
        <v/>
      </c>
      <c r="E96" s="12">
        <f>'Hareket Girişi'!E98</f>
        <v/>
      </c>
      <c r="F96" s="12">
        <f>IF(A96="","",F95+D96-E96)</f>
        <v/>
      </c>
    </row>
    <row r="97">
      <c r="A97" s="11">
        <f>'Hareket Girişi'!A99</f>
        <v/>
      </c>
      <c r="B97">
        <f>'Hareket Girişi'!B99</f>
        <v/>
      </c>
      <c r="C97">
        <f>'Hareket Girişi'!C99</f>
        <v/>
      </c>
      <c r="D97" s="12">
        <f>'Hareket Girişi'!D99</f>
        <v/>
      </c>
      <c r="E97" s="12">
        <f>'Hareket Girişi'!E99</f>
        <v/>
      </c>
      <c r="F97" s="12">
        <f>IF(A97="","",F96+D97-E97)</f>
        <v/>
      </c>
    </row>
    <row r="98">
      <c r="A98" s="11">
        <f>'Hareket Girişi'!A100</f>
        <v/>
      </c>
      <c r="B98">
        <f>'Hareket Girişi'!B100</f>
        <v/>
      </c>
      <c r="C98">
        <f>'Hareket Girişi'!C100</f>
        <v/>
      </c>
      <c r="D98" s="12">
        <f>'Hareket Girişi'!D100</f>
        <v/>
      </c>
      <c r="E98" s="12">
        <f>'Hareket Girişi'!E100</f>
        <v/>
      </c>
      <c r="F98" s="12">
        <f>IF(A98="","",F97+D98-E98)</f>
        <v/>
      </c>
    </row>
    <row r="99">
      <c r="A99" s="11">
        <f>'Hareket Girişi'!A101</f>
        <v/>
      </c>
      <c r="B99">
        <f>'Hareket Girişi'!B101</f>
        <v/>
      </c>
      <c r="C99">
        <f>'Hareket Girişi'!C101</f>
        <v/>
      </c>
      <c r="D99" s="12">
        <f>'Hareket Girişi'!D101</f>
        <v/>
      </c>
      <c r="E99" s="12">
        <f>'Hareket Girişi'!E101</f>
        <v/>
      </c>
      <c r="F99" s="12">
        <f>IF(A99="","",F98+D99-E99)</f>
        <v/>
      </c>
    </row>
    <row r="100">
      <c r="A100" s="11">
        <f>'Hareket Girişi'!A102</f>
        <v/>
      </c>
      <c r="B100">
        <f>'Hareket Girişi'!B102</f>
        <v/>
      </c>
      <c r="C100">
        <f>'Hareket Girişi'!C102</f>
        <v/>
      </c>
      <c r="D100" s="12">
        <f>'Hareket Girişi'!D102</f>
        <v/>
      </c>
      <c r="E100" s="12">
        <f>'Hareket Girişi'!E102</f>
        <v/>
      </c>
      <c r="F100" s="12">
        <f>IF(A100="","",F99+D100-E100)</f>
        <v/>
      </c>
    </row>
    <row r="101">
      <c r="A101" s="11">
        <f>'Hareket Girişi'!A103</f>
        <v/>
      </c>
      <c r="B101">
        <f>'Hareket Girişi'!B103</f>
        <v/>
      </c>
      <c r="C101">
        <f>'Hareket Girişi'!C103</f>
        <v/>
      </c>
      <c r="D101" s="12">
        <f>'Hareket Girişi'!D103</f>
        <v/>
      </c>
      <c r="E101" s="12">
        <f>'Hareket Girişi'!E103</f>
        <v/>
      </c>
      <c r="F101" s="12">
        <f>IF(A101="","",F100+D101-E101)</f>
        <v/>
      </c>
    </row>
    <row r="102">
      <c r="A102" s="11">
        <f>'Hareket Girişi'!A104</f>
        <v/>
      </c>
      <c r="B102">
        <f>'Hareket Girişi'!B104</f>
        <v/>
      </c>
      <c r="C102">
        <f>'Hareket Girişi'!C104</f>
        <v/>
      </c>
      <c r="D102" s="12">
        <f>'Hareket Girişi'!D104</f>
        <v/>
      </c>
      <c r="E102" s="12">
        <f>'Hareket Girişi'!E104</f>
        <v/>
      </c>
      <c r="F102" s="12">
        <f>IF(A102="","",F101+D102-E102)</f>
        <v/>
      </c>
    </row>
    <row r="103">
      <c r="A103" s="11">
        <f>'Hareket Girişi'!A105</f>
        <v/>
      </c>
      <c r="B103">
        <f>'Hareket Girişi'!B105</f>
        <v/>
      </c>
      <c r="C103">
        <f>'Hareket Girişi'!C105</f>
        <v/>
      </c>
      <c r="D103" s="12">
        <f>'Hareket Girişi'!D105</f>
        <v/>
      </c>
      <c r="E103" s="12">
        <f>'Hareket Girişi'!E105</f>
        <v/>
      </c>
      <c r="F103" s="12">
        <f>IF(A103="","",F102+D103-E103)</f>
        <v/>
      </c>
    </row>
    <row r="104">
      <c r="A104" s="11">
        <f>'Hareket Girişi'!A106</f>
        <v/>
      </c>
      <c r="B104">
        <f>'Hareket Girişi'!B106</f>
        <v/>
      </c>
      <c r="C104">
        <f>'Hareket Girişi'!C106</f>
        <v/>
      </c>
      <c r="D104" s="12">
        <f>'Hareket Girişi'!D106</f>
        <v/>
      </c>
      <c r="E104" s="12">
        <f>'Hareket Girişi'!E106</f>
        <v/>
      </c>
      <c r="F104" s="12">
        <f>IF(A104="","",F103+D104-E104)</f>
        <v/>
      </c>
    </row>
    <row r="105">
      <c r="A105" s="11">
        <f>'Hareket Girişi'!A107</f>
        <v/>
      </c>
      <c r="B105">
        <f>'Hareket Girişi'!B107</f>
        <v/>
      </c>
      <c r="C105">
        <f>'Hareket Girişi'!C107</f>
        <v/>
      </c>
      <c r="D105" s="12">
        <f>'Hareket Girişi'!D107</f>
        <v/>
      </c>
      <c r="E105" s="12">
        <f>'Hareket Girişi'!E107</f>
        <v/>
      </c>
      <c r="F105" s="12">
        <f>IF(A105="","",F104+D105-E105)</f>
        <v/>
      </c>
    </row>
    <row r="106">
      <c r="A106" s="11">
        <f>'Hareket Girişi'!A108</f>
        <v/>
      </c>
      <c r="B106">
        <f>'Hareket Girişi'!B108</f>
        <v/>
      </c>
      <c r="C106">
        <f>'Hareket Girişi'!C108</f>
        <v/>
      </c>
      <c r="D106" s="12">
        <f>'Hareket Girişi'!D108</f>
        <v/>
      </c>
      <c r="E106" s="12">
        <f>'Hareket Girişi'!E108</f>
        <v/>
      </c>
      <c r="F106" s="12">
        <f>IF(A106="","",F105+D106-E106)</f>
        <v/>
      </c>
    </row>
    <row r="107">
      <c r="A107" s="11">
        <f>'Hareket Girişi'!A109</f>
        <v/>
      </c>
      <c r="B107">
        <f>'Hareket Girişi'!B109</f>
        <v/>
      </c>
      <c r="C107">
        <f>'Hareket Girişi'!C109</f>
        <v/>
      </c>
      <c r="D107" s="12">
        <f>'Hareket Girişi'!D109</f>
        <v/>
      </c>
      <c r="E107" s="12">
        <f>'Hareket Girişi'!E109</f>
        <v/>
      </c>
      <c r="F107" s="12">
        <f>IF(A107="","",F106+D107-E107)</f>
        <v/>
      </c>
    </row>
    <row r="108">
      <c r="A108" s="11">
        <f>'Hareket Girişi'!A110</f>
        <v/>
      </c>
      <c r="B108">
        <f>'Hareket Girişi'!B110</f>
        <v/>
      </c>
      <c r="C108">
        <f>'Hareket Girişi'!C110</f>
        <v/>
      </c>
      <c r="D108" s="12">
        <f>'Hareket Girişi'!D110</f>
        <v/>
      </c>
      <c r="E108" s="12">
        <f>'Hareket Girişi'!E110</f>
        <v/>
      </c>
      <c r="F108" s="12">
        <f>IF(A108="","",F107+D108-E108)</f>
        <v/>
      </c>
    </row>
    <row r="109">
      <c r="A109" s="11">
        <f>'Hareket Girişi'!A111</f>
        <v/>
      </c>
      <c r="B109">
        <f>'Hareket Girişi'!B111</f>
        <v/>
      </c>
      <c r="C109">
        <f>'Hareket Girişi'!C111</f>
        <v/>
      </c>
      <c r="D109" s="12">
        <f>'Hareket Girişi'!D111</f>
        <v/>
      </c>
      <c r="E109" s="12">
        <f>'Hareket Girişi'!E111</f>
        <v/>
      </c>
      <c r="F109" s="12">
        <f>IF(A109="","",F108+D109-E109)</f>
        <v/>
      </c>
    </row>
    <row r="110">
      <c r="A110" s="11">
        <f>'Hareket Girişi'!A112</f>
        <v/>
      </c>
      <c r="B110">
        <f>'Hareket Girişi'!B112</f>
        <v/>
      </c>
      <c r="C110">
        <f>'Hareket Girişi'!C112</f>
        <v/>
      </c>
      <c r="D110" s="12">
        <f>'Hareket Girişi'!D112</f>
        <v/>
      </c>
      <c r="E110" s="12">
        <f>'Hareket Girişi'!E112</f>
        <v/>
      </c>
      <c r="F110" s="12">
        <f>IF(A110="","",F109+D110-E110)</f>
        <v/>
      </c>
    </row>
    <row r="111">
      <c r="A111" s="11">
        <f>'Hareket Girişi'!A113</f>
        <v/>
      </c>
      <c r="B111">
        <f>'Hareket Girişi'!B113</f>
        <v/>
      </c>
      <c r="C111">
        <f>'Hareket Girişi'!C113</f>
        <v/>
      </c>
      <c r="D111" s="12">
        <f>'Hareket Girişi'!D113</f>
        <v/>
      </c>
      <c r="E111" s="12">
        <f>'Hareket Girişi'!E113</f>
        <v/>
      </c>
      <c r="F111" s="12">
        <f>IF(A111="","",F110+D111-E111)</f>
        <v/>
      </c>
    </row>
    <row r="112">
      <c r="A112" s="11">
        <f>'Hareket Girişi'!A114</f>
        <v/>
      </c>
      <c r="B112">
        <f>'Hareket Girişi'!B114</f>
        <v/>
      </c>
      <c r="C112">
        <f>'Hareket Girişi'!C114</f>
        <v/>
      </c>
      <c r="D112" s="12">
        <f>'Hareket Girişi'!D114</f>
        <v/>
      </c>
      <c r="E112" s="12">
        <f>'Hareket Girişi'!E114</f>
        <v/>
      </c>
      <c r="F112" s="12">
        <f>IF(A112="","",F111+D112-E112)</f>
        <v/>
      </c>
    </row>
    <row r="113">
      <c r="A113" s="11">
        <f>'Hareket Girişi'!A115</f>
        <v/>
      </c>
      <c r="B113">
        <f>'Hareket Girişi'!B115</f>
        <v/>
      </c>
      <c r="C113">
        <f>'Hareket Girişi'!C115</f>
        <v/>
      </c>
      <c r="D113" s="12">
        <f>'Hareket Girişi'!D115</f>
        <v/>
      </c>
      <c r="E113" s="12">
        <f>'Hareket Girişi'!E115</f>
        <v/>
      </c>
      <c r="F113" s="12">
        <f>IF(A113="","",F112+D113-E113)</f>
        <v/>
      </c>
    </row>
    <row r="114">
      <c r="A114" s="11">
        <f>'Hareket Girişi'!A116</f>
        <v/>
      </c>
      <c r="B114">
        <f>'Hareket Girişi'!B116</f>
        <v/>
      </c>
      <c r="C114">
        <f>'Hareket Girişi'!C116</f>
        <v/>
      </c>
      <c r="D114" s="12">
        <f>'Hareket Girişi'!D116</f>
        <v/>
      </c>
      <c r="E114" s="12">
        <f>'Hareket Girişi'!E116</f>
        <v/>
      </c>
      <c r="F114" s="12">
        <f>IF(A114="","",F113+D114-E114)</f>
        <v/>
      </c>
    </row>
    <row r="115">
      <c r="A115" s="11">
        <f>'Hareket Girişi'!A117</f>
        <v/>
      </c>
      <c r="B115">
        <f>'Hareket Girişi'!B117</f>
        <v/>
      </c>
      <c r="C115">
        <f>'Hareket Girişi'!C117</f>
        <v/>
      </c>
      <c r="D115" s="12">
        <f>'Hareket Girişi'!D117</f>
        <v/>
      </c>
      <c r="E115" s="12">
        <f>'Hareket Girişi'!E117</f>
        <v/>
      </c>
      <c r="F115" s="12">
        <f>IF(A115="","",F114+D115-E115)</f>
        <v/>
      </c>
    </row>
    <row r="116">
      <c r="A116" s="11">
        <f>'Hareket Girişi'!A118</f>
        <v/>
      </c>
      <c r="B116">
        <f>'Hareket Girişi'!B118</f>
        <v/>
      </c>
      <c r="C116">
        <f>'Hareket Girişi'!C118</f>
        <v/>
      </c>
      <c r="D116" s="12">
        <f>'Hareket Girişi'!D118</f>
        <v/>
      </c>
      <c r="E116" s="12">
        <f>'Hareket Girişi'!E118</f>
        <v/>
      </c>
      <c r="F116" s="12">
        <f>IF(A116="","",F115+D116-E116)</f>
        <v/>
      </c>
    </row>
    <row r="117">
      <c r="A117" s="11">
        <f>'Hareket Girişi'!A119</f>
        <v/>
      </c>
      <c r="B117">
        <f>'Hareket Girişi'!B119</f>
        <v/>
      </c>
      <c r="C117">
        <f>'Hareket Girişi'!C119</f>
        <v/>
      </c>
      <c r="D117" s="12">
        <f>'Hareket Girişi'!D119</f>
        <v/>
      </c>
      <c r="E117" s="12">
        <f>'Hareket Girişi'!E119</f>
        <v/>
      </c>
      <c r="F117" s="12">
        <f>IF(A117="","",F116+D117-E117)</f>
        <v/>
      </c>
    </row>
    <row r="118">
      <c r="A118" s="11">
        <f>'Hareket Girişi'!A120</f>
        <v/>
      </c>
      <c r="B118">
        <f>'Hareket Girişi'!B120</f>
        <v/>
      </c>
      <c r="C118">
        <f>'Hareket Girişi'!C120</f>
        <v/>
      </c>
      <c r="D118" s="12">
        <f>'Hareket Girişi'!D120</f>
        <v/>
      </c>
      <c r="E118" s="12">
        <f>'Hareket Girişi'!E120</f>
        <v/>
      </c>
      <c r="F118" s="12">
        <f>IF(A118="","",F117+D118-E118)</f>
        <v/>
      </c>
    </row>
    <row r="119">
      <c r="A119" s="11">
        <f>'Hareket Girişi'!A121</f>
        <v/>
      </c>
      <c r="B119">
        <f>'Hareket Girişi'!B121</f>
        <v/>
      </c>
      <c r="C119">
        <f>'Hareket Girişi'!C121</f>
        <v/>
      </c>
      <c r="D119" s="12">
        <f>'Hareket Girişi'!D121</f>
        <v/>
      </c>
      <c r="E119" s="12">
        <f>'Hareket Girişi'!E121</f>
        <v/>
      </c>
      <c r="F119" s="12">
        <f>IF(A119="","",F118+D119-E119)</f>
        <v/>
      </c>
    </row>
    <row r="120">
      <c r="A120" s="11">
        <f>'Hareket Girişi'!A122</f>
        <v/>
      </c>
      <c r="B120">
        <f>'Hareket Girişi'!B122</f>
        <v/>
      </c>
      <c r="C120">
        <f>'Hareket Girişi'!C122</f>
        <v/>
      </c>
      <c r="D120" s="12">
        <f>'Hareket Girişi'!D122</f>
        <v/>
      </c>
      <c r="E120" s="12">
        <f>'Hareket Girişi'!E122</f>
        <v/>
      </c>
      <c r="F120" s="12">
        <f>IF(A120="","",F119+D120-E120)</f>
        <v/>
      </c>
    </row>
    <row r="121">
      <c r="A121" s="11">
        <f>'Hareket Girişi'!A123</f>
        <v/>
      </c>
      <c r="B121">
        <f>'Hareket Girişi'!B123</f>
        <v/>
      </c>
      <c r="C121">
        <f>'Hareket Girişi'!C123</f>
        <v/>
      </c>
      <c r="D121" s="12">
        <f>'Hareket Girişi'!D123</f>
        <v/>
      </c>
      <c r="E121" s="12">
        <f>'Hareket Girişi'!E123</f>
        <v/>
      </c>
      <c r="F121" s="12">
        <f>IF(A121="","",F120+D121-E121)</f>
        <v/>
      </c>
    </row>
    <row r="122">
      <c r="A122" s="11">
        <f>'Hareket Girişi'!A124</f>
        <v/>
      </c>
      <c r="B122">
        <f>'Hareket Girişi'!B124</f>
        <v/>
      </c>
      <c r="C122">
        <f>'Hareket Girişi'!C124</f>
        <v/>
      </c>
      <c r="D122" s="12">
        <f>'Hareket Girişi'!D124</f>
        <v/>
      </c>
      <c r="E122" s="12">
        <f>'Hareket Girişi'!E124</f>
        <v/>
      </c>
      <c r="F122" s="12">
        <f>IF(A122="","",F121+D122-E122)</f>
        <v/>
      </c>
    </row>
    <row r="123">
      <c r="A123" s="11">
        <f>'Hareket Girişi'!A125</f>
        <v/>
      </c>
      <c r="B123">
        <f>'Hareket Girişi'!B125</f>
        <v/>
      </c>
      <c r="C123">
        <f>'Hareket Girişi'!C125</f>
        <v/>
      </c>
      <c r="D123" s="12">
        <f>'Hareket Girişi'!D125</f>
        <v/>
      </c>
      <c r="E123" s="12">
        <f>'Hareket Girişi'!E125</f>
        <v/>
      </c>
      <c r="F123" s="12">
        <f>IF(A123="","",F122+D123-E123)</f>
        <v/>
      </c>
    </row>
    <row r="124">
      <c r="A124" s="11">
        <f>'Hareket Girişi'!A126</f>
        <v/>
      </c>
      <c r="B124">
        <f>'Hareket Girişi'!B126</f>
        <v/>
      </c>
      <c r="C124">
        <f>'Hareket Girişi'!C126</f>
        <v/>
      </c>
      <c r="D124" s="12">
        <f>'Hareket Girişi'!D126</f>
        <v/>
      </c>
      <c r="E124" s="12">
        <f>'Hareket Girişi'!E126</f>
        <v/>
      </c>
      <c r="F124" s="12">
        <f>IF(A124="","",F123+D124-E124)</f>
        <v/>
      </c>
    </row>
    <row r="125">
      <c r="A125" s="11">
        <f>'Hareket Girişi'!A127</f>
        <v/>
      </c>
      <c r="B125">
        <f>'Hareket Girişi'!B127</f>
        <v/>
      </c>
      <c r="C125">
        <f>'Hareket Girişi'!C127</f>
        <v/>
      </c>
      <c r="D125" s="12">
        <f>'Hareket Girişi'!D127</f>
        <v/>
      </c>
      <c r="E125" s="12">
        <f>'Hareket Girişi'!E127</f>
        <v/>
      </c>
      <c r="F125" s="12">
        <f>IF(A125="","",F124+D125-E125)</f>
        <v/>
      </c>
    </row>
    <row r="126">
      <c r="A126" s="11">
        <f>'Hareket Girişi'!A128</f>
        <v/>
      </c>
      <c r="B126">
        <f>'Hareket Girişi'!B128</f>
        <v/>
      </c>
      <c r="C126">
        <f>'Hareket Girişi'!C128</f>
        <v/>
      </c>
      <c r="D126" s="12">
        <f>'Hareket Girişi'!D128</f>
        <v/>
      </c>
      <c r="E126" s="12">
        <f>'Hareket Girişi'!E128</f>
        <v/>
      </c>
      <c r="F126" s="12">
        <f>IF(A126="","",F125+D126-E126)</f>
        <v/>
      </c>
    </row>
    <row r="127">
      <c r="A127" s="11">
        <f>'Hareket Girişi'!A129</f>
        <v/>
      </c>
      <c r="B127">
        <f>'Hareket Girişi'!B129</f>
        <v/>
      </c>
      <c r="C127">
        <f>'Hareket Girişi'!C129</f>
        <v/>
      </c>
      <c r="D127" s="12">
        <f>'Hareket Girişi'!D129</f>
        <v/>
      </c>
      <c r="E127" s="12">
        <f>'Hareket Girişi'!E129</f>
        <v/>
      </c>
      <c r="F127" s="12">
        <f>IF(A127="","",F126+D127-E127)</f>
        <v/>
      </c>
    </row>
    <row r="128">
      <c r="A128" s="11">
        <f>'Hareket Girişi'!A130</f>
        <v/>
      </c>
      <c r="B128">
        <f>'Hareket Girişi'!B130</f>
        <v/>
      </c>
      <c r="C128">
        <f>'Hareket Girişi'!C130</f>
        <v/>
      </c>
      <c r="D128" s="12">
        <f>'Hareket Girişi'!D130</f>
        <v/>
      </c>
      <c r="E128" s="12">
        <f>'Hareket Girişi'!E130</f>
        <v/>
      </c>
      <c r="F128" s="12">
        <f>IF(A128="","",F127+D128-E128)</f>
        <v/>
      </c>
    </row>
    <row r="129">
      <c r="A129" s="11">
        <f>'Hareket Girişi'!A131</f>
        <v/>
      </c>
      <c r="B129">
        <f>'Hareket Girişi'!B131</f>
        <v/>
      </c>
      <c r="C129">
        <f>'Hareket Girişi'!C131</f>
        <v/>
      </c>
      <c r="D129" s="12">
        <f>'Hareket Girişi'!D131</f>
        <v/>
      </c>
      <c r="E129" s="12">
        <f>'Hareket Girişi'!E131</f>
        <v/>
      </c>
      <c r="F129" s="12">
        <f>IF(A129="","",F128+D129-E129)</f>
        <v/>
      </c>
    </row>
    <row r="130">
      <c r="A130" s="11">
        <f>'Hareket Girişi'!A132</f>
        <v/>
      </c>
      <c r="B130">
        <f>'Hareket Girişi'!B132</f>
        <v/>
      </c>
      <c r="C130">
        <f>'Hareket Girişi'!C132</f>
        <v/>
      </c>
      <c r="D130" s="12">
        <f>'Hareket Girişi'!D132</f>
        <v/>
      </c>
      <c r="E130" s="12">
        <f>'Hareket Girişi'!E132</f>
        <v/>
      </c>
      <c r="F130" s="12">
        <f>IF(A130="","",F129+D130-E130)</f>
        <v/>
      </c>
    </row>
    <row r="131">
      <c r="A131" s="11">
        <f>'Hareket Girişi'!A133</f>
        <v/>
      </c>
      <c r="B131">
        <f>'Hareket Girişi'!B133</f>
        <v/>
      </c>
      <c r="C131">
        <f>'Hareket Girişi'!C133</f>
        <v/>
      </c>
      <c r="D131" s="12">
        <f>'Hareket Girişi'!D133</f>
        <v/>
      </c>
      <c r="E131" s="12">
        <f>'Hareket Girişi'!E133</f>
        <v/>
      </c>
      <c r="F131" s="12">
        <f>IF(A131="","",F130+D131-E131)</f>
        <v/>
      </c>
    </row>
    <row r="132">
      <c r="A132" s="11">
        <f>'Hareket Girişi'!A134</f>
        <v/>
      </c>
      <c r="B132">
        <f>'Hareket Girişi'!B134</f>
        <v/>
      </c>
      <c r="C132">
        <f>'Hareket Girişi'!C134</f>
        <v/>
      </c>
      <c r="D132" s="12">
        <f>'Hareket Girişi'!D134</f>
        <v/>
      </c>
      <c r="E132" s="12">
        <f>'Hareket Girişi'!E134</f>
        <v/>
      </c>
      <c r="F132" s="12">
        <f>IF(A132="","",F131+D132-E132)</f>
        <v/>
      </c>
    </row>
    <row r="133">
      <c r="A133" s="11">
        <f>'Hareket Girişi'!A135</f>
        <v/>
      </c>
      <c r="B133">
        <f>'Hareket Girişi'!B135</f>
        <v/>
      </c>
      <c r="C133">
        <f>'Hareket Girişi'!C135</f>
        <v/>
      </c>
      <c r="D133" s="12">
        <f>'Hareket Girişi'!D135</f>
        <v/>
      </c>
      <c r="E133" s="12">
        <f>'Hareket Girişi'!E135</f>
        <v/>
      </c>
      <c r="F133" s="12">
        <f>IF(A133="","",F132+D133-E133)</f>
        <v/>
      </c>
    </row>
    <row r="134">
      <c r="A134" s="11">
        <f>'Hareket Girişi'!A136</f>
        <v/>
      </c>
      <c r="B134">
        <f>'Hareket Girişi'!B136</f>
        <v/>
      </c>
      <c r="C134">
        <f>'Hareket Girişi'!C136</f>
        <v/>
      </c>
      <c r="D134" s="12">
        <f>'Hareket Girişi'!D136</f>
        <v/>
      </c>
      <c r="E134" s="12">
        <f>'Hareket Girişi'!E136</f>
        <v/>
      </c>
      <c r="F134" s="12">
        <f>IF(A134="","",F133+D134-E134)</f>
        <v/>
      </c>
    </row>
    <row r="135">
      <c r="A135" s="11">
        <f>'Hareket Girişi'!A137</f>
        <v/>
      </c>
      <c r="B135">
        <f>'Hareket Girişi'!B137</f>
        <v/>
      </c>
      <c r="C135">
        <f>'Hareket Girişi'!C137</f>
        <v/>
      </c>
      <c r="D135" s="12">
        <f>'Hareket Girişi'!D137</f>
        <v/>
      </c>
      <c r="E135" s="12">
        <f>'Hareket Girişi'!E137</f>
        <v/>
      </c>
      <c r="F135" s="12">
        <f>IF(A135="","",F134+D135-E135)</f>
        <v/>
      </c>
    </row>
    <row r="136">
      <c r="A136" s="11">
        <f>'Hareket Girişi'!A138</f>
        <v/>
      </c>
      <c r="B136">
        <f>'Hareket Girişi'!B138</f>
        <v/>
      </c>
      <c r="C136">
        <f>'Hareket Girişi'!C138</f>
        <v/>
      </c>
      <c r="D136" s="12">
        <f>'Hareket Girişi'!D138</f>
        <v/>
      </c>
      <c r="E136" s="12">
        <f>'Hareket Girişi'!E138</f>
        <v/>
      </c>
      <c r="F136" s="12">
        <f>IF(A136="","",F135+D136-E136)</f>
        <v/>
      </c>
    </row>
    <row r="137">
      <c r="A137" s="11">
        <f>'Hareket Girişi'!A139</f>
        <v/>
      </c>
      <c r="B137">
        <f>'Hareket Girişi'!B139</f>
        <v/>
      </c>
      <c r="C137">
        <f>'Hareket Girişi'!C139</f>
        <v/>
      </c>
      <c r="D137" s="12">
        <f>'Hareket Girişi'!D139</f>
        <v/>
      </c>
      <c r="E137" s="12">
        <f>'Hareket Girişi'!E139</f>
        <v/>
      </c>
      <c r="F137" s="12">
        <f>IF(A137="","",F136+D137-E137)</f>
        <v/>
      </c>
    </row>
    <row r="138">
      <c r="A138" s="11">
        <f>'Hareket Girişi'!A140</f>
        <v/>
      </c>
      <c r="B138">
        <f>'Hareket Girişi'!B140</f>
        <v/>
      </c>
      <c r="C138">
        <f>'Hareket Girişi'!C140</f>
        <v/>
      </c>
      <c r="D138" s="12">
        <f>'Hareket Girişi'!D140</f>
        <v/>
      </c>
      <c r="E138" s="12">
        <f>'Hareket Girişi'!E140</f>
        <v/>
      </c>
      <c r="F138" s="12">
        <f>IF(A138="","",F137+D138-E138)</f>
        <v/>
      </c>
    </row>
    <row r="139">
      <c r="A139" s="11">
        <f>'Hareket Girişi'!A141</f>
        <v/>
      </c>
      <c r="B139">
        <f>'Hareket Girişi'!B141</f>
        <v/>
      </c>
      <c r="C139">
        <f>'Hareket Girişi'!C141</f>
        <v/>
      </c>
      <c r="D139" s="12">
        <f>'Hareket Girişi'!D141</f>
        <v/>
      </c>
      <c r="E139" s="12">
        <f>'Hareket Girişi'!E141</f>
        <v/>
      </c>
      <c r="F139" s="12">
        <f>IF(A139="","",F138+D139-E139)</f>
        <v/>
      </c>
    </row>
    <row r="140">
      <c r="A140" s="11">
        <f>'Hareket Girişi'!A142</f>
        <v/>
      </c>
      <c r="B140">
        <f>'Hareket Girişi'!B142</f>
        <v/>
      </c>
      <c r="C140">
        <f>'Hareket Girişi'!C142</f>
        <v/>
      </c>
      <c r="D140" s="12">
        <f>'Hareket Girişi'!D142</f>
        <v/>
      </c>
      <c r="E140" s="12">
        <f>'Hareket Girişi'!E142</f>
        <v/>
      </c>
      <c r="F140" s="12">
        <f>IF(A140="","",F139+D140-E140)</f>
        <v/>
      </c>
    </row>
    <row r="141">
      <c r="A141" s="11">
        <f>'Hareket Girişi'!A143</f>
        <v/>
      </c>
      <c r="B141">
        <f>'Hareket Girişi'!B143</f>
        <v/>
      </c>
      <c r="C141">
        <f>'Hareket Girişi'!C143</f>
        <v/>
      </c>
      <c r="D141" s="12">
        <f>'Hareket Girişi'!D143</f>
        <v/>
      </c>
      <c r="E141" s="12">
        <f>'Hareket Girişi'!E143</f>
        <v/>
      </c>
      <c r="F141" s="12">
        <f>IF(A141="","",F140+D141-E141)</f>
        <v/>
      </c>
    </row>
    <row r="142">
      <c r="A142" s="11">
        <f>'Hareket Girişi'!A144</f>
        <v/>
      </c>
      <c r="B142">
        <f>'Hareket Girişi'!B144</f>
        <v/>
      </c>
      <c r="C142">
        <f>'Hareket Girişi'!C144</f>
        <v/>
      </c>
      <c r="D142" s="12">
        <f>'Hareket Girişi'!D144</f>
        <v/>
      </c>
      <c r="E142" s="12">
        <f>'Hareket Girişi'!E144</f>
        <v/>
      </c>
      <c r="F142" s="12">
        <f>IF(A142="","",F141+D142-E142)</f>
        <v/>
      </c>
    </row>
    <row r="143">
      <c r="A143" s="11">
        <f>'Hareket Girişi'!A145</f>
        <v/>
      </c>
      <c r="B143">
        <f>'Hareket Girişi'!B145</f>
        <v/>
      </c>
      <c r="C143">
        <f>'Hareket Girişi'!C145</f>
        <v/>
      </c>
      <c r="D143" s="12">
        <f>'Hareket Girişi'!D145</f>
        <v/>
      </c>
      <c r="E143" s="12">
        <f>'Hareket Girişi'!E145</f>
        <v/>
      </c>
      <c r="F143" s="12">
        <f>IF(A143="","",F142+D143-E143)</f>
        <v/>
      </c>
    </row>
    <row r="144">
      <c r="A144" s="11">
        <f>'Hareket Girişi'!A146</f>
        <v/>
      </c>
      <c r="B144">
        <f>'Hareket Girişi'!B146</f>
        <v/>
      </c>
      <c r="C144">
        <f>'Hareket Girişi'!C146</f>
        <v/>
      </c>
      <c r="D144" s="12">
        <f>'Hareket Girişi'!D146</f>
        <v/>
      </c>
      <c r="E144" s="12">
        <f>'Hareket Girişi'!E146</f>
        <v/>
      </c>
      <c r="F144" s="12">
        <f>IF(A144="","",F143+D144-E144)</f>
        <v/>
      </c>
    </row>
    <row r="145">
      <c r="A145" s="11">
        <f>'Hareket Girişi'!A147</f>
        <v/>
      </c>
      <c r="B145">
        <f>'Hareket Girişi'!B147</f>
        <v/>
      </c>
      <c r="C145">
        <f>'Hareket Girişi'!C147</f>
        <v/>
      </c>
      <c r="D145" s="12">
        <f>'Hareket Girişi'!D147</f>
        <v/>
      </c>
      <c r="E145" s="12">
        <f>'Hareket Girişi'!E147</f>
        <v/>
      </c>
      <c r="F145" s="12">
        <f>IF(A145="","",F144+D145-E145)</f>
        <v/>
      </c>
    </row>
    <row r="146">
      <c r="A146" s="11">
        <f>'Hareket Girişi'!A148</f>
        <v/>
      </c>
      <c r="B146">
        <f>'Hareket Girişi'!B148</f>
        <v/>
      </c>
      <c r="C146">
        <f>'Hareket Girişi'!C148</f>
        <v/>
      </c>
      <c r="D146" s="12">
        <f>'Hareket Girişi'!D148</f>
        <v/>
      </c>
      <c r="E146" s="12">
        <f>'Hareket Girişi'!E148</f>
        <v/>
      </c>
      <c r="F146" s="12">
        <f>IF(A146="","",F145+D146-E146)</f>
        <v/>
      </c>
    </row>
    <row r="147">
      <c r="A147" s="11">
        <f>'Hareket Girişi'!A149</f>
        <v/>
      </c>
      <c r="B147">
        <f>'Hareket Girişi'!B149</f>
        <v/>
      </c>
      <c r="C147">
        <f>'Hareket Girişi'!C149</f>
        <v/>
      </c>
      <c r="D147" s="12">
        <f>'Hareket Girişi'!D149</f>
        <v/>
      </c>
      <c r="E147" s="12">
        <f>'Hareket Girişi'!E149</f>
        <v/>
      </c>
      <c r="F147" s="12">
        <f>IF(A147="","",F146+D147-E147)</f>
        <v/>
      </c>
    </row>
    <row r="148">
      <c r="A148" s="11">
        <f>'Hareket Girişi'!A150</f>
        <v/>
      </c>
      <c r="B148">
        <f>'Hareket Girişi'!B150</f>
        <v/>
      </c>
      <c r="C148">
        <f>'Hareket Girişi'!C150</f>
        <v/>
      </c>
      <c r="D148" s="12">
        <f>'Hareket Girişi'!D150</f>
        <v/>
      </c>
      <c r="E148" s="12">
        <f>'Hareket Girişi'!E150</f>
        <v/>
      </c>
      <c r="F148" s="12">
        <f>IF(A148="","",F147+D148-E148)</f>
        <v/>
      </c>
    </row>
    <row r="149">
      <c r="A149" s="11">
        <f>'Hareket Girişi'!A151</f>
        <v/>
      </c>
      <c r="B149">
        <f>'Hareket Girişi'!B151</f>
        <v/>
      </c>
      <c r="C149">
        <f>'Hareket Girişi'!C151</f>
        <v/>
      </c>
      <c r="D149" s="12">
        <f>'Hareket Girişi'!D151</f>
        <v/>
      </c>
      <c r="E149" s="12">
        <f>'Hareket Girişi'!E151</f>
        <v/>
      </c>
      <c r="F149" s="12">
        <f>IF(A149="","",F148+D149-E149)</f>
        <v/>
      </c>
    </row>
    <row r="150">
      <c r="A150" s="11">
        <f>'Hareket Girişi'!A152</f>
        <v/>
      </c>
      <c r="B150">
        <f>'Hareket Girişi'!B152</f>
        <v/>
      </c>
      <c r="C150">
        <f>'Hareket Girişi'!C152</f>
        <v/>
      </c>
      <c r="D150" s="12">
        <f>'Hareket Girişi'!D152</f>
        <v/>
      </c>
      <c r="E150" s="12">
        <f>'Hareket Girişi'!E152</f>
        <v/>
      </c>
      <c r="F150" s="12">
        <f>IF(A150="","",F149+D150-E150)</f>
        <v/>
      </c>
    </row>
    <row r="151">
      <c r="A151" s="11">
        <f>'Hareket Girişi'!A153</f>
        <v/>
      </c>
      <c r="B151">
        <f>'Hareket Girişi'!B153</f>
        <v/>
      </c>
      <c r="C151">
        <f>'Hareket Girişi'!C153</f>
        <v/>
      </c>
      <c r="D151" s="12">
        <f>'Hareket Girişi'!D153</f>
        <v/>
      </c>
      <c r="E151" s="12">
        <f>'Hareket Girişi'!E153</f>
        <v/>
      </c>
      <c r="F151" s="12">
        <f>IF(A151="","",F150+D151-E151)</f>
        <v/>
      </c>
    </row>
    <row r="152">
      <c r="A152" s="11">
        <f>'Hareket Girişi'!A154</f>
        <v/>
      </c>
      <c r="B152">
        <f>'Hareket Girişi'!B154</f>
        <v/>
      </c>
      <c r="C152">
        <f>'Hareket Girişi'!C154</f>
        <v/>
      </c>
      <c r="D152" s="12">
        <f>'Hareket Girişi'!D154</f>
        <v/>
      </c>
      <c r="E152" s="12">
        <f>'Hareket Girişi'!E154</f>
        <v/>
      </c>
      <c r="F152" s="12">
        <f>IF(A152="","",F151+D152-E152)</f>
        <v/>
      </c>
    </row>
    <row r="153">
      <c r="A153" s="11">
        <f>'Hareket Girişi'!A155</f>
        <v/>
      </c>
      <c r="B153">
        <f>'Hareket Girişi'!B155</f>
        <v/>
      </c>
      <c r="C153">
        <f>'Hareket Girişi'!C155</f>
        <v/>
      </c>
      <c r="D153" s="12">
        <f>'Hareket Girişi'!D155</f>
        <v/>
      </c>
      <c r="E153" s="12">
        <f>'Hareket Girişi'!E155</f>
        <v/>
      </c>
      <c r="F153" s="12">
        <f>IF(A153="","",F152+D153-E153)</f>
        <v/>
      </c>
    </row>
    <row r="154">
      <c r="A154" s="11">
        <f>'Hareket Girişi'!A156</f>
        <v/>
      </c>
      <c r="B154">
        <f>'Hareket Girişi'!B156</f>
        <v/>
      </c>
      <c r="C154">
        <f>'Hareket Girişi'!C156</f>
        <v/>
      </c>
      <c r="D154" s="12">
        <f>'Hareket Girişi'!D156</f>
        <v/>
      </c>
      <c r="E154" s="12">
        <f>'Hareket Girişi'!E156</f>
        <v/>
      </c>
      <c r="F154" s="12">
        <f>IF(A154="","",F153+D154-E154)</f>
        <v/>
      </c>
    </row>
    <row r="155">
      <c r="A155" s="11">
        <f>'Hareket Girişi'!A157</f>
        <v/>
      </c>
      <c r="B155">
        <f>'Hareket Girişi'!B157</f>
        <v/>
      </c>
      <c r="C155">
        <f>'Hareket Girişi'!C157</f>
        <v/>
      </c>
      <c r="D155" s="12">
        <f>'Hareket Girişi'!D157</f>
        <v/>
      </c>
      <c r="E155" s="12">
        <f>'Hareket Girişi'!E157</f>
        <v/>
      </c>
      <c r="F155" s="12">
        <f>IF(A155="","",F154+D155-E155)</f>
        <v/>
      </c>
    </row>
    <row r="156">
      <c r="A156" s="11">
        <f>'Hareket Girişi'!A158</f>
        <v/>
      </c>
      <c r="B156">
        <f>'Hareket Girişi'!B158</f>
        <v/>
      </c>
      <c r="C156">
        <f>'Hareket Girişi'!C158</f>
        <v/>
      </c>
      <c r="D156" s="12">
        <f>'Hareket Girişi'!D158</f>
        <v/>
      </c>
      <c r="E156" s="12">
        <f>'Hareket Girişi'!E158</f>
        <v/>
      </c>
      <c r="F156" s="12">
        <f>IF(A156="","",F155+D156-E156)</f>
        <v/>
      </c>
    </row>
    <row r="157">
      <c r="A157" s="11">
        <f>'Hareket Girişi'!A159</f>
        <v/>
      </c>
      <c r="B157">
        <f>'Hareket Girişi'!B159</f>
        <v/>
      </c>
      <c r="C157">
        <f>'Hareket Girişi'!C159</f>
        <v/>
      </c>
      <c r="D157" s="12">
        <f>'Hareket Girişi'!D159</f>
        <v/>
      </c>
      <c r="E157" s="12">
        <f>'Hareket Girişi'!E159</f>
        <v/>
      </c>
      <c r="F157" s="12">
        <f>IF(A157="","",F156+D157-E157)</f>
        <v/>
      </c>
    </row>
    <row r="158">
      <c r="A158" s="11">
        <f>'Hareket Girişi'!A160</f>
        <v/>
      </c>
      <c r="B158">
        <f>'Hareket Girişi'!B160</f>
        <v/>
      </c>
      <c r="C158">
        <f>'Hareket Girişi'!C160</f>
        <v/>
      </c>
      <c r="D158" s="12">
        <f>'Hareket Girişi'!D160</f>
        <v/>
      </c>
      <c r="E158" s="12">
        <f>'Hareket Girişi'!E160</f>
        <v/>
      </c>
      <c r="F158" s="12">
        <f>IF(A158="","",F157+D158-E158)</f>
        <v/>
      </c>
    </row>
    <row r="159">
      <c r="A159" s="11">
        <f>'Hareket Girişi'!A161</f>
        <v/>
      </c>
      <c r="B159">
        <f>'Hareket Girişi'!B161</f>
        <v/>
      </c>
      <c r="C159">
        <f>'Hareket Girişi'!C161</f>
        <v/>
      </c>
      <c r="D159" s="12">
        <f>'Hareket Girişi'!D161</f>
        <v/>
      </c>
      <c r="E159" s="12">
        <f>'Hareket Girişi'!E161</f>
        <v/>
      </c>
      <c r="F159" s="12">
        <f>IF(A159="","",F158+D159-E159)</f>
        <v/>
      </c>
    </row>
    <row r="160">
      <c r="A160" s="11">
        <f>'Hareket Girişi'!A162</f>
        <v/>
      </c>
      <c r="B160">
        <f>'Hareket Girişi'!B162</f>
        <v/>
      </c>
      <c r="C160">
        <f>'Hareket Girişi'!C162</f>
        <v/>
      </c>
      <c r="D160" s="12">
        <f>'Hareket Girişi'!D162</f>
        <v/>
      </c>
      <c r="E160" s="12">
        <f>'Hareket Girişi'!E162</f>
        <v/>
      </c>
      <c r="F160" s="12">
        <f>IF(A160="","",F159+D160-E160)</f>
        <v/>
      </c>
    </row>
    <row r="161">
      <c r="A161" s="11">
        <f>'Hareket Girişi'!A163</f>
        <v/>
      </c>
      <c r="B161">
        <f>'Hareket Girişi'!B163</f>
        <v/>
      </c>
      <c r="C161">
        <f>'Hareket Girişi'!C163</f>
        <v/>
      </c>
      <c r="D161" s="12">
        <f>'Hareket Girişi'!D163</f>
        <v/>
      </c>
      <c r="E161" s="12">
        <f>'Hareket Girişi'!E163</f>
        <v/>
      </c>
      <c r="F161" s="12">
        <f>IF(A161="","",F160+D161-E161)</f>
        <v/>
      </c>
    </row>
    <row r="162">
      <c r="A162" s="11">
        <f>'Hareket Girişi'!A164</f>
        <v/>
      </c>
      <c r="B162">
        <f>'Hareket Girişi'!B164</f>
        <v/>
      </c>
      <c r="C162">
        <f>'Hareket Girişi'!C164</f>
        <v/>
      </c>
      <c r="D162" s="12">
        <f>'Hareket Girişi'!D164</f>
        <v/>
      </c>
      <c r="E162" s="12">
        <f>'Hareket Girişi'!E164</f>
        <v/>
      </c>
      <c r="F162" s="12">
        <f>IF(A162="","",F161+D162-E162)</f>
        <v/>
      </c>
    </row>
    <row r="163">
      <c r="A163" s="11">
        <f>'Hareket Girişi'!A165</f>
        <v/>
      </c>
      <c r="B163">
        <f>'Hareket Girişi'!B165</f>
        <v/>
      </c>
      <c r="C163">
        <f>'Hareket Girişi'!C165</f>
        <v/>
      </c>
      <c r="D163" s="12">
        <f>'Hareket Girişi'!D165</f>
        <v/>
      </c>
      <c r="E163" s="12">
        <f>'Hareket Girişi'!E165</f>
        <v/>
      </c>
      <c r="F163" s="12">
        <f>IF(A163="","",F162+D163-E163)</f>
        <v/>
      </c>
    </row>
    <row r="164">
      <c r="A164" s="11">
        <f>'Hareket Girişi'!A166</f>
        <v/>
      </c>
      <c r="B164">
        <f>'Hareket Girişi'!B166</f>
        <v/>
      </c>
      <c r="C164">
        <f>'Hareket Girişi'!C166</f>
        <v/>
      </c>
      <c r="D164" s="12">
        <f>'Hareket Girişi'!D166</f>
        <v/>
      </c>
      <c r="E164" s="12">
        <f>'Hareket Girişi'!E166</f>
        <v/>
      </c>
      <c r="F164" s="12">
        <f>IF(A164="","",F163+D164-E164)</f>
        <v/>
      </c>
    </row>
    <row r="165">
      <c r="A165" s="11">
        <f>'Hareket Girişi'!A167</f>
        <v/>
      </c>
      <c r="B165">
        <f>'Hareket Girişi'!B167</f>
        <v/>
      </c>
      <c r="C165">
        <f>'Hareket Girişi'!C167</f>
        <v/>
      </c>
      <c r="D165" s="12">
        <f>'Hareket Girişi'!D167</f>
        <v/>
      </c>
      <c r="E165" s="12">
        <f>'Hareket Girişi'!E167</f>
        <v/>
      </c>
      <c r="F165" s="12">
        <f>IF(A165="","",F164+D165-E165)</f>
        <v/>
      </c>
    </row>
    <row r="166">
      <c r="A166" s="11">
        <f>'Hareket Girişi'!A168</f>
        <v/>
      </c>
      <c r="B166">
        <f>'Hareket Girişi'!B168</f>
        <v/>
      </c>
      <c r="C166">
        <f>'Hareket Girişi'!C168</f>
        <v/>
      </c>
      <c r="D166" s="12">
        <f>'Hareket Girişi'!D168</f>
        <v/>
      </c>
      <c r="E166" s="12">
        <f>'Hareket Girişi'!E168</f>
        <v/>
      </c>
      <c r="F166" s="12">
        <f>IF(A166="","",F165+D166-E166)</f>
        <v/>
      </c>
    </row>
    <row r="167">
      <c r="A167" s="11">
        <f>'Hareket Girişi'!A169</f>
        <v/>
      </c>
      <c r="B167">
        <f>'Hareket Girişi'!B169</f>
        <v/>
      </c>
      <c r="C167">
        <f>'Hareket Girişi'!C169</f>
        <v/>
      </c>
      <c r="D167" s="12">
        <f>'Hareket Girişi'!D169</f>
        <v/>
      </c>
      <c r="E167" s="12">
        <f>'Hareket Girişi'!E169</f>
        <v/>
      </c>
      <c r="F167" s="12">
        <f>IF(A167="","",F166+D167-E167)</f>
        <v/>
      </c>
    </row>
    <row r="168">
      <c r="A168" s="11">
        <f>'Hareket Girişi'!A170</f>
        <v/>
      </c>
      <c r="B168">
        <f>'Hareket Girişi'!B170</f>
        <v/>
      </c>
      <c r="C168">
        <f>'Hareket Girişi'!C170</f>
        <v/>
      </c>
      <c r="D168" s="12">
        <f>'Hareket Girişi'!D170</f>
        <v/>
      </c>
      <c r="E168" s="12">
        <f>'Hareket Girişi'!E170</f>
        <v/>
      </c>
      <c r="F168" s="12">
        <f>IF(A168="","",F167+D168-E168)</f>
        <v/>
      </c>
    </row>
    <row r="169">
      <c r="A169" s="11">
        <f>'Hareket Girişi'!A171</f>
        <v/>
      </c>
      <c r="B169">
        <f>'Hareket Girişi'!B171</f>
        <v/>
      </c>
      <c r="C169">
        <f>'Hareket Girişi'!C171</f>
        <v/>
      </c>
      <c r="D169" s="12">
        <f>'Hareket Girişi'!D171</f>
        <v/>
      </c>
      <c r="E169" s="12">
        <f>'Hareket Girişi'!E171</f>
        <v/>
      </c>
      <c r="F169" s="12">
        <f>IF(A169="","",F168+D169-E169)</f>
        <v/>
      </c>
    </row>
    <row r="170">
      <c r="A170" s="11">
        <f>'Hareket Girişi'!A172</f>
        <v/>
      </c>
      <c r="B170">
        <f>'Hareket Girişi'!B172</f>
        <v/>
      </c>
      <c r="C170">
        <f>'Hareket Girişi'!C172</f>
        <v/>
      </c>
      <c r="D170" s="12">
        <f>'Hareket Girişi'!D172</f>
        <v/>
      </c>
      <c r="E170" s="12">
        <f>'Hareket Girişi'!E172</f>
        <v/>
      </c>
      <c r="F170" s="12">
        <f>IF(A170="","",F169+D170-E170)</f>
        <v/>
      </c>
    </row>
    <row r="171">
      <c r="A171" s="11">
        <f>'Hareket Girişi'!A173</f>
        <v/>
      </c>
      <c r="B171">
        <f>'Hareket Girişi'!B173</f>
        <v/>
      </c>
      <c r="C171">
        <f>'Hareket Girişi'!C173</f>
        <v/>
      </c>
      <c r="D171" s="12">
        <f>'Hareket Girişi'!D173</f>
        <v/>
      </c>
      <c r="E171" s="12">
        <f>'Hareket Girişi'!E173</f>
        <v/>
      </c>
      <c r="F171" s="12">
        <f>IF(A171="","",F170+D171-E171)</f>
        <v/>
      </c>
    </row>
    <row r="172">
      <c r="A172" s="11">
        <f>'Hareket Girişi'!A174</f>
        <v/>
      </c>
      <c r="B172">
        <f>'Hareket Girişi'!B174</f>
        <v/>
      </c>
      <c r="C172">
        <f>'Hareket Girişi'!C174</f>
        <v/>
      </c>
      <c r="D172" s="12">
        <f>'Hareket Girişi'!D174</f>
        <v/>
      </c>
      <c r="E172" s="12">
        <f>'Hareket Girişi'!E174</f>
        <v/>
      </c>
      <c r="F172" s="12">
        <f>IF(A172="","",F171+D172-E172)</f>
        <v/>
      </c>
    </row>
    <row r="173">
      <c r="A173" s="11">
        <f>'Hareket Girişi'!A175</f>
        <v/>
      </c>
      <c r="B173">
        <f>'Hareket Girişi'!B175</f>
        <v/>
      </c>
      <c r="C173">
        <f>'Hareket Girişi'!C175</f>
        <v/>
      </c>
      <c r="D173" s="12">
        <f>'Hareket Girişi'!D175</f>
        <v/>
      </c>
      <c r="E173" s="12">
        <f>'Hareket Girişi'!E175</f>
        <v/>
      </c>
      <c r="F173" s="12">
        <f>IF(A173="","",F172+D173-E173)</f>
        <v/>
      </c>
    </row>
    <row r="174">
      <c r="A174" s="11">
        <f>'Hareket Girişi'!A176</f>
        <v/>
      </c>
      <c r="B174">
        <f>'Hareket Girişi'!B176</f>
        <v/>
      </c>
      <c r="C174">
        <f>'Hareket Girişi'!C176</f>
        <v/>
      </c>
      <c r="D174" s="12">
        <f>'Hareket Girişi'!D176</f>
        <v/>
      </c>
      <c r="E174" s="12">
        <f>'Hareket Girişi'!E176</f>
        <v/>
      </c>
      <c r="F174" s="12">
        <f>IF(A174="","",F173+D174-E174)</f>
        <v/>
      </c>
    </row>
    <row r="175">
      <c r="A175" s="11">
        <f>'Hareket Girişi'!A177</f>
        <v/>
      </c>
      <c r="B175">
        <f>'Hareket Girişi'!B177</f>
        <v/>
      </c>
      <c r="C175">
        <f>'Hareket Girişi'!C177</f>
        <v/>
      </c>
      <c r="D175" s="12">
        <f>'Hareket Girişi'!D177</f>
        <v/>
      </c>
      <c r="E175" s="12">
        <f>'Hareket Girişi'!E177</f>
        <v/>
      </c>
      <c r="F175" s="12">
        <f>IF(A175="","",F174+D175-E175)</f>
        <v/>
      </c>
    </row>
    <row r="176">
      <c r="A176" s="11">
        <f>'Hareket Girişi'!A178</f>
        <v/>
      </c>
      <c r="B176">
        <f>'Hareket Girişi'!B178</f>
        <v/>
      </c>
      <c r="C176">
        <f>'Hareket Girişi'!C178</f>
        <v/>
      </c>
      <c r="D176" s="12">
        <f>'Hareket Girişi'!D178</f>
        <v/>
      </c>
      <c r="E176" s="12">
        <f>'Hareket Girişi'!E178</f>
        <v/>
      </c>
      <c r="F176" s="12">
        <f>IF(A176="","",F175+D176-E176)</f>
        <v/>
      </c>
    </row>
    <row r="177">
      <c r="A177" s="11">
        <f>'Hareket Girişi'!A179</f>
        <v/>
      </c>
      <c r="B177">
        <f>'Hareket Girişi'!B179</f>
        <v/>
      </c>
      <c r="C177">
        <f>'Hareket Girişi'!C179</f>
        <v/>
      </c>
      <c r="D177" s="12">
        <f>'Hareket Girişi'!D179</f>
        <v/>
      </c>
      <c r="E177" s="12">
        <f>'Hareket Girişi'!E179</f>
        <v/>
      </c>
      <c r="F177" s="12">
        <f>IF(A177="","",F176+D177-E177)</f>
        <v/>
      </c>
    </row>
    <row r="178">
      <c r="A178" s="11">
        <f>'Hareket Girişi'!A180</f>
        <v/>
      </c>
      <c r="B178">
        <f>'Hareket Girişi'!B180</f>
        <v/>
      </c>
      <c r="C178">
        <f>'Hareket Girişi'!C180</f>
        <v/>
      </c>
      <c r="D178" s="12">
        <f>'Hareket Girişi'!D180</f>
        <v/>
      </c>
      <c r="E178" s="12">
        <f>'Hareket Girişi'!E180</f>
        <v/>
      </c>
      <c r="F178" s="12">
        <f>IF(A178="","",F177+D178-E178)</f>
        <v/>
      </c>
    </row>
    <row r="179">
      <c r="A179" s="11">
        <f>'Hareket Girişi'!A181</f>
        <v/>
      </c>
      <c r="B179">
        <f>'Hareket Girişi'!B181</f>
        <v/>
      </c>
      <c r="C179">
        <f>'Hareket Girişi'!C181</f>
        <v/>
      </c>
      <c r="D179" s="12">
        <f>'Hareket Girişi'!D181</f>
        <v/>
      </c>
      <c r="E179" s="12">
        <f>'Hareket Girişi'!E181</f>
        <v/>
      </c>
      <c r="F179" s="12">
        <f>IF(A179="","",F178+D179-E179)</f>
        <v/>
      </c>
    </row>
    <row r="180">
      <c r="A180" s="11">
        <f>'Hareket Girişi'!A182</f>
        <v/>
      </c>
      <c r="B180">
        <f>'Hareket Girişi'!B182</f>
        <v/>
      </c>
      <c r="C180">
        <f>'Hareket Girişi'!C182</f>
        <v/>
      </c>
      <c r="D180" s="12">
        <f>'Hareket Girişi'!D182</f>
        <v/>
      </c>
      <c r="E180" s="12">
        <f>'Hareket Girişi'!E182</f>
        <v/>
      </c>
      <c r="F180" s="12">
        <f>IF(A180="","",F179+D180-E180)</f>
        <v/>
      </c>
    </row>
    <row r="181">
      <c r="A181" s="11">
        <f>'Hareket Girişi'!A183</f>
        <v/>
      </c>
      <c r="B181">
        <f>'Hareket Girişi'!B183</f>
        <v/>
      </c>
      <c r="C181">
        <f>'Hareket Girişi'!C183</f>
        <v/>
      </c>
      <c r="D181" s="12">
        <f>'Hareket Girişi'!D183</f>
        <v/>
      </c>
      <c r="E181" s="12">
        <f>'Hareket Girişi'!E183</f>
        <v/>
      </c>
      <c r="F181" s="12">
        <f>IF(A181="","",F180+D181-E181)</f>
        <v/>
      </c>
    </row>
    <row r="182">
      <c r="A182" s="11">
        <f>'Hareket Girişi'!A184</f>
        <v/>
      </c>
      <c r="B182">
        <f>'Hareket Girişi'!B184</f>
        <v/>
      </c>
      <c r="C182">
        <f>'Hareket Girişi'!C184</f>
        <v/>
      </c>
      <c r="D182" s="12">
        <f>'Hareket Girişi'!D184</f>
        <v/>
      </c>
      <c r="E182" s="12">
        <f>'Hareket Girişi'!E184</f>
        <v/>
      </c>
      <c r="F182" s="12">
        <f>IF(A182="","",F181+D182-E182)</f>
        <v/>
      </c>
    </row>
    <row r="183">
      <c r="A183" s="11">
        <f>'Hareket Girişi'!A185</f>
        <v/>
      </c>
      <c r="B183">
        <f>'Hareket Girişi'!B185</f>
        <v/>
      </c>
      <c r="C183">
        <f>'Hareket Girişi'!C185</f>
        <v/>
      </c>
      <c r="D183" s="12">
        <f>'Hareket Girişi'!D185</f>
        <v/>
      </c>
      <c r="E183" s="12">
        <f>'Hareket Girişi'!E185</f>
        <v/>
      </c>
      <c r="F183" s="12">
        <f>IF(A183="","",F182+D183-E183)</f>
        <v/>
      </c>
    </row>
    <row r="184">
      <c r="A184" s="11">
        <f>'Hareket Girişi'!A186</f>
        <v/>
      </c>
      <c r="B184">
        <f>'Hareket Girişi'!B186</f>
        <v/>
      </c>
      <c r="C184">
        <f>'Hareket Girişi'!C186</f>
        <v/>
      </c>
      <c r="D184" s="12">
        <f>'Hareket Girişi'!D186</f>
        <v/>
      </c>
      <c r="E184" s="12">
        <f>'Hareket Girişi'!E186</f>
        <v/>
      </c>
      <c r="F184" s="12">
        <f>IF(A184="","",F183+D184-E184)</f>
        <v/>
      </c>
    </row>
    <row r="185">
      <c r="A185" s="11">
        <f>'Hareket Girişi'!A187</f>
        <v/>
      </c>
      <c r="B185">
        <f>'Hareket Girişi'!B187</f>
        <v/>
      </c>
      <c r="C185">
        <f>'Hareket Girişi'!C187</f>
        <v/>
      </c>
      <c r="D185" s="12">
        <f>'Hareket Girişi'!D187</f>
        <v/>
      </c>
      <c r="E185" s="12">
        <f>'Hareket Girişi'!E187</f>
        <v/>
      </c>
      <c r="F185" s="12">
        <f>IF(A185="","",F184+D185-E185)</f>
        <v/>
      </c>
    </row>
    <row r="186">
      <c r="A186" s="11">
        <f>'Hareket Girişi'!A188</f>
        <v/>
      </c>
      <c r="B186">
        <f>'Hareket Girişi'!B188</f>
        <v/>
      </c>
      <c r="C186">
        <f>'Hareket Girişi'!C188</f>
        <v/>
      </c>
      <c r="D186" s="12">
        <f>'Hareket Girişi'!D188</f>
        <v/>
      </c>
      <c r="E186" s="12">
        <f>'Hareket Girişi'!E188</f>
        <v/>
      </c>
      <c r="F186" s="12">
        <f>IF(A186="","",F185+D186-E186)</f>
        <v/>
      </c>
    </row>
    <row r="187">
      <c r="A187" s="11">
        <f>'Hareket Girişi'!A189</f>
        <v/>
      </c>
      <c r="B187">
        <f>'Hareket Girişi'!B189</f>
        <v/>
      </c>
      <c r="C187">
        <f>'Hareket Girişi'!C189</f>
        <v/>
      </c>
      <c r="D187" s="12">
        <f>'Hareket Girişi'!D189</f>
        <v/>
      </c>
      <c r="E187" s="12">
        <f>'Hareket Girişi'!E189</f>
        <v/>
      </c>
      <c r="F187" s="12">
        <f>IF(A187="","",F186+D187-E187)</f>
        <v/>
      </c>
    </row>
    <row r="188">
      <c r="A188" s="11">
        <f>'Hareket Girişi'!A190</f>
        <v/>
      </c>
      <c r="B188">
        <f>'Hareket Girişi'!B190</f>
        <v/>
      </c>
      <c r="C188">
        <f>'Hareket Girişi'!C190</f>
        <v/>
      </c>
      <c r="D188" s="12">
        <f>'Hareket Girişi'!D190</f>
        <v/>
      </c>
      <c r="E188" s="12">
        <f>'Hareket Girişi'!E190</f>
        <v/>
      </c>
      <c r="F188" s="12">
        <f>IF(A188="","",F187+D188-E188)</f>
        <v/>
      </c>
    </row>
    <row r="189">
      <c r="A189" s="11">
        <f>'Hareket Girişi'!A191</f>
        <v/>
      </c>
      <c r="B189">
        <f>'Hareket Girişi'!B191</f>
        <v/>
      </c>
      <c r="C189">
        <f>'Hareket Girişi'!C191</f>
        <v/>
      </c>
      <c r="D189" s="12">
        <f>'Hareket Girişi'!D191</f>
        <v/>
      </c>
      <c r="E189" s="12">
        <f>'Hareket Girişi'!E191</f>
        <v/>
      </c>
      <c r="F189" s="12">
        <f>IF(A189="","",F188+D189-E189)</f>
        <v/>
      </c>
    </row>
    <row r="190">
      <c r="A190" s="11">
        <f>'Hareket Girişi'!A192</f>
        <v/>
      </c>
      <c r="B190">
        <f>'Hareket Girişi'!B192</f>
        <v/>
      </c>
      <c r="C190">
        <f>'Hareket Girişi'!C192</f>
        <v/>
      </c>
      <c r="D190" s="12">
        <f>'Hareket Girişi'!D192</f>
        <v/>
      </c>
      <c r="E190" s="12">
        <f>'Hareket Girişi'!E192</f>
        <v/>
      </c>
      <c r="F190" s="12">
        <f>IF(A190="","",F189+D190-E190)</f>
        <v/>
      </c>
    </row>
    <row r="191">
      <c r="A191" s="11">
        <f>'Hareket Girişi'!A193</f>
        <v/>
      </c>
      <c r="B191">
        <f>'Hareket Girişi'!B193</f>
        <v/>
      </c>
      <c r="C191">
        <f>'Hareket Girişi'!C193</f>
        <v/>
      </c>
      <c r="D191" s="12">
        <f>'Hareket Girişi'!D193</f>
        <v/>
      </c>
      <c r="E191" s="12">
        <f>'Hareket Girişi'!E193</f>
        <v/>
      </c>
      <c r="F191" s="12">
        <f>IF(A191="","",F190+D191-E191)</f>
        <v/>
      </c>
    </row>
    <row r="192">
      <c r="A192" s="11">
        <f>'Hareket Girişi'!A194</f>
        <v/>
      </c>
      <c r="B192">
        <f>'Hareket Girişi'!B194</f>
        <v/>
      </c>
      <c r="C192">
        <f>'Hareket Girişi'!C194</f>
        <v/>
      </c>
      <c r="D192" s="12">
        <f>'Hareket Girişi'!D194</f>
        <v/>
      </c>
      <c r="E192" s="12">
        <f>'Hareket Girişi'!E194</f>
        <v/>
      </c>
      <c r="F192" s="12">
        <f>IF(A192="","",F191+D192-E192)</f>
        <v/>
      </c>
    </row>
    <row r="193">
      <c r="A193" s="11">
        <f>'Hareket Girişi'!A195</f>
        <v/>
      </c>
      <c r="B193">
        <f>'Hareket Girişi'!B195</f>
        <v/>
      </c>
      <c r="C193">
        <f>'Hareket Girişi'!C195</f>
        <v/>
      </c>
      <c r="D193" s="12">
        <f>'Hareket Girişi'!D195</f>
        <v/>
      </c>
      <c r="E193" s="12">
        <f>'Hareket Girişi'!E195</f>
        <v/>
      </c>
      <c r="F193" s="12">
        <f>IF(A193="","",F192+D193-E193)</f>
        <v/>
      </c>
    </row>
    <row r="194">
      <c r="A194" s="11">
        <f>'Hareket Girişi'!A196</f>
        <v/>
      </c>
      <c r="B194">
        <f>'Hareket Girişi'!B196</f>
        <v/>
      </c>
      <c r="C194">
        <f>'Hareket Girişi'!C196</f>
        <v/>
      </c>
      <c r="D194" s="12">
        <f>'Hareket Girişi'!D196</f>
        <v/>
      </c>
      <c r="E194" s="12">
        <f>'Hareket Girişi'!E196</f>
        <v/>
      </c>
      <c r="F194" s="12">
        <f>IF(A194="","",F193+D194-E194)</f>
        <v/>
      </c>
    </row>
    <row r="195">
      <c r="A195" s="11">
        <f>'Hareket Girişi'!A197</f>
        <v/>
      </c>
      <c r="B195">
        <f>'Hareket Girişi'!B197</f>
        <v/>
      </c>
      <c r="C195">
        <f>'Hareket Girişi'!C197</f>
        <v/>
      </c>
      <c r="D195" s="12">
        <f>'Hareket Girişi'!D197</f>
        <v/>
      </c>
      <c r="E195" s="12">
        <f>'Hareket Girişi'!E197</f>
        <v/>
      </c>
      <c r="F195" s="12">
        <f>IF(A195="","",F194+D195-E195)</f>
        <v/>
      </c>
    </row>
    <row r="196">
      <c r="A196" s="11">
        <f>'Hareket Girişi'!A198</f>
        <v/>
      </c>
      <c r="B196">
        <f>'Hareket Girişi'!B198</f>
        <v/>
      </c>
      <c r="C196">
        <f>'Hareket Girişi'!C198</f>
        <v/>
      </c>
      <c r="D196" s="12">
        <f>'Hareket Girişi'!D198</f>
        <v/>
      </c>
      <c r="E196" s="12">
        <f>'Hareket Girişi'!E198</f>
        <v/>
      </c>
      <c r="F196" s="12">
        <f>IF(A196="","",F195+D196-E196)</f>
        <v/>
      </c>
    </row>
    <row r="197">
      <c r="A197" s="11">
        <f>'Hareket Girişi'!A199</f>
        <v/>
      </c>
      <c r="B197">
        <f>'Hareket Girişi'!B199</f>
        <v/>
      </c>
      <c r="C197">
        <f>'Hareket Girişi'!C199</f>
        <v/>
      </c>
      <c r="D197" s="12">
        <f>'Hareket Girişi'!D199</f>
        <v/>
      </c>
      <c r="E197" s="12">
        <f>'Hareket Girişi'!E199</f>
        <v/>
      </c>
      <c r="F197" s="12">
        <f>IF(A197="","",F196+D197-E197)</f>
        <v/>
      </c>
    </row>
    <row r="198">
      <c r="A198" s="11">
        <f>'Hareket Girişi'!A200</f>
        <v/>
      </c>
      <c r="B198">
        <f>'Hareket Girişi'!B200</f>
        <v/>
      </c>
      <c r="C198">
        <f>'Hareket Girişi'!C200</f>
        <v/>
      </c>
      <c r="D198" s="12">
        <f>'Hareket Girişi'!D200</f>
        <v/>
      </c>
      <c r="E198" s="12">
        <f>'Hareket Girişi'!E200</f>
        <v/>
      </c>
      <c r="F198" s="12">
        <f>IF(A198="","",F197+D198-E198)</f>
        <v/>
      </c>
    </row>
    <row r="199">
      <c r="A199" s="11">
        <f>'Hareket Girişi'!A201</f>
        <v/>
      </c>
      <c r="B199">
        <f>'Hareket Girişi'!B201</f>
        <v/>
      </c>
      <c r="C199">
        <f>'Hareket Girişi'!C201</f>
        <v/>
      </c>
      <c r="D199" s="12">
        <f>'Hareket Girişi'!D201</f>
        <v/>
      </c>
      <c r="E199" s="12">
        <f>'Hareket Girişi'!E201</f>
        <v/>
      </c>
      <c r="F199" s="12">
        <f>IF(A199="","",F198+D199-E199)</f>
        <v/>
      </c>
    </row>
    <row r="200">
      <c r="A200" s="11">
        <f>'Hareket Girişi'!A202</f>
        <v/>
      </c>
      <c r="B200">
        <f>'Hareket Girişi'!B202</f>
        <v/>
      </c>
      <c r="C200">
        <f>'Hareket Girişi'!C202</f>
        <v/>
      </c>
      <c r="D200" s="12">
        <f>'Hareket Girişi'!D202</f>
        <v/>
      </c>
      <c r="E200" s="12">
        <f>'Hareket Girişi'!E202</f>
        <v/>
      </c>
      <c r="F200" s="12">
        <f>IF(A200="","",F199+D200-E200)</f>
        <v/>
      </c>
    </row>
    <row r="201">
      <c r="A201" s="11">
        <f>'Hareket Girişi'!A203</f>
        <v/>
      </c>
      <c r="B201">
        <f>'Hareket Girişi'!B203</f>
        <v/>
      </c>
      <c r="C201">
        <f>'Hareket Girişi'!C203</f>
        <v/>
      </c>
      <c r="D201" s="12">
        <f>'Hareket Girişi'!D203</f>
        <v/>
      </c>
      <c r="E201" s="12">
        <f>'Hareket Girişi'!E203</f>
        <v/>
      </c>
      <c r="F201" s="12">
        <f>IF(A201="","",F200+D201-E201)</f>
        <v/>
      </c>
    </row>
    <row r="202">
      <c r="A202" s="11">
        <f>'Hareket Girişi'!A204</f>
        <v/>
      </c>
      <c r="B202">
        <f>'Hareket Girişi'!B204</f>
        <v/>
      </c>
      <c r="C202">
        <f>'Hareket Girişi'!C204</f>
        <v/>
      </c>
      <c r="D202" s="12">
        <f>'Hareket Girişi'!D204</f>
        <v/>
      </c>
      <c r="E202" s="12">
        <f>'Hareket Girişi'!E204</f>
        <v/>
      </c>
      <c r="F202" s="12">
        <f>IF(A202="","",F201+D202-E202)</f>
        <v/>
      </c>
    </row>
    <row r="203">
      <c r="A203" s="11">
        <f>'Hareket Girişi'!A205</f>
        <v/>
      </c>
      <c r="B203">
        <f>'Hareket Girişi'!B205</f>
        <v/>
      </c>
      <c r="C203">
        <f>'Hareket Girişi'!C205</f>
        <v/>
      </c>
      <c r="D203" s="12">
        <f>'Hareket Girişi'!D205</f>
        <v/>
      </c>
      <c r="E203" s="12">
        <f>'Hareket Girişi'!E205</f>
        <v/>
      </c>
      <c r="F203" s="12">
        <f>IF(A203="","",F202+D203-E203)</f>
        <v/>
      </c>
    </row>
    <row r="204">
      <c r="C204" s="13" t="inlineStr">
        <is>
          <t>TOPLAM</t>
        </is>
      </c>
      <c r="D204" s="14">
        <f>SUM(D4:D203)</f>
        <v/>
      </c>
      <c r="E204" s="14">
        <f>SUM(E4:E203)</f>
        <v/>
      </c>
      <c r="F204" s="14">
        <f>LOOKUP(2,1/(F4:F203&lt;&gt;""),F4:F203)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 ht="24" customHeight="1">
      <c r="A1" s="1" t="inlineStr">
        <is>
          <t>VOLKAN KARAKAŞ CARİ ÖZETİ</t>
        </is>
      </c>
    </row>
    <row r="2">
      <c r="A2" s="2" t="inlineStr">
        <is>
          <t>Canlı Formüllü Versiyon - Hareket Girişi sayfasına veri girildiğinde otomatik güncellenir.</t>
        </is>
      </c>
    </row>
    <row r="4">
      <c r="A4" s="15" t="inlineStr">
        <is>
          <t>Toplam Satış</t>
        </is>
      </c>
      <c r="B4" s="16" t="n"/>
      <c r="C4" s="17" t="inlineStr">
        <is>
          <t>Toplam Tahsilat</t>
        </is>
      </c>
      <c r="D4" s="16" t="n"/>
      <c r="E4" s="18" t="inlineStr">
        <is>
          <t>Kapanış Bakiye</t>
        </is>
      </c>
      <c r="F4" s="16" t="n"/>
      <c r="G4" s="19" t="inlineStr">
        <is>
          <t>Cari Durum</t>
        </is>
      </c>
      <c r="H4" s="16" t="n"/>
    </row>
    <row r="5">
      <c r="A5" s="20">
        <f>SUM(tblHareketler[Borç (Satış)])</f>
        <v/>
      </c>
      <c r="B5" s="16" t="n"/>
      <c r="C5" s="20">
        <f>SUM(tblHareketler[Alacak (Tahsilat)])</f>
        <v/>
      </c>
      <c r="D5" s="16" t="n"/>
      <c r="E5" s="20">
        <f>A5-C5</f>
        <v/>
      </c>
      <c r="F5" s="16" t="n"/>
      <c r="G5" s="21">
        <f>IF(E5&gt;0,"ALACAKLIYIZ",IF(E5&lt;0,"BORÇLUYUZ","KAPANDI"))</f>
        <v/>
      </c>
      <c r="H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9" ht="24" customHeight="1">
      <c r="A9" s="1" t="inlineStr">
        <is>
          <t>DÖNEMSEL ÖZET</t>
        </is>
      </c>
    </row>
    <row r="10">
      <c r="A10" s="10" t="inlineStr">
        <is>
          <t>Kalem</t>
        </is>
      </c>
      <c r="B10" s="10" t="inlineStr">
        <is>
          <t>Ocak</t>
        </is>
      </c>
      <c r="C10" s="10" t="inlineStr">
        <is>
          <t>Şubat</t>
        </is>
      </c>
      <c r="D10" s="10" t="inlineStr">
        <is>
          <t>Mart</t>
        </is>
      </c>
      <c r="E10" s="10" t="inlineStr">
        <is>
          <t>Genel Toplam</t>
        </is>
      </c>
      <c r="F10" s="10" t="inlineStr"/>
      <c r="G10" s="10" t="inlineStr">
        <is>
          <t>Not</t>
        </is>
      </c>
      <c r="H10" s="10" t="inlineStr"/>
    </row>
    <row r="11">
      <c r="A11" s="22" t="inlineStr">
        <is>
          <t>Satış</t>
        </is>
      </c>
      <c r="B11" s="23">
        <f>SUMIFS(tblHareketler[Borç (Satış)],tblHareketler[Ay No],1)</f>
        <v/>
      </c>
      <c r="C11" s="23">
        <f>SUMIFS(tblHareketler[Borç (Satış)],tblHareketler[Ay No],2)</f>
        <v/>
      </c>
      <c r="D11" s="23">
        <f>SUMIFS(tblHareketler[Borç (Satış)],tblHareketler[Ay No],3)</f>
        <v/>
      </c>
      <c r="E11" s="23">
        <f>SUM(B11:D11)</f>
        <v/>
      </c>
      <c r="F11" s="22" t="inlineStr"/>
      <c r="G11" s="22" t="inlineStr">
        <is>
          <t>Ay no yardımcı kolonuna göre toplar</t>
        </is>
      </c>
      <c r="H11" s="22" t="inlineStr"/>
    </row>
    <row r="12">
      <c r="A12" s="22" t="inlineStr">
        <is>
          <t>Tahsilat</t>
        </is>
      </c>
      <c r="B12" s="23">
        <f>SUMIFS(tblHareketler[Alacak (Tahsilat)],tblHareketler[Ay No],1)</f>
        <v/>
      </c>
      <c r="C12" s="23">
        <f>SUMIFS(tblHareketler[Alacak (Tahsilat)],tblHareketler[Ay No],2)</f>
        <v/>
      </c>
      <c r="D12" s="23">
        <f>SUMIFS(tblHareketler[Alacak (Tahsilat)],tblHareketler[Ay No],3)</f>
        <v/>
      </c>
      <c r="E12" s="23">
        <f>SUM(B12:D12)</f>
        <v/>
      </c>
      <c r="F12" s="22" t="inlineStr"/>
      <c r="G12" s="22" t="inlineStr">
        <is>
          <t>POS dahil tahsilatlar</t>
        </is>
      </c>
      <c r="H12" s="22" t="inlineStr"/>
    </row>
    <row r="13">
      <c r="A13" s="24" t="inlineStr">
        <is>
          <t>Net Bakiye</t>
        </is>
      </c>
      <c r="B13" s="25">
        <f>B11-B12</f>
        <v/>
      </c>
      <c r="C13" s="25">
        <f>C11-C12</f>
        <v/>
      </c>
      <c r="D13" s="25">
        <f>D11-D12</f>
        <v/>
      </c>
      <c r="E13" s="25">
        <f>SUM(B13:D13)</f>
        <v/>
      </c>
      <c r="F13" s="22" t="inlineStr"/>
      <c r="G13" s="22" t="inlineStr">
        <is>
          <t>Pozitif = alacak</t>
        </is>
      </c>
      <c r="H13" s="22" t="inlineStr"/>
    </row>
    <row r="16" ht="24" customHeight="1">
      <c r="A16" s="1" t="inlineStr">
        <is>
          <t>KULLANIM</t>
        </is>
      </c>
      <c r="F16" t="inlineStr">
        <is>
          <t>Tarih</t>
        </is>
      </c>
      <c r="G16" t="inlineStr">
        <is>
          <t>Bakiye</t>
        </is>
      </c>
    </row>
    <row r="17">
      <c r="A17" s="26" t="inlineStr">
        <is>
          <t>1) Yeni hareketi Hareket Girişi sayfasında boş satıra ekle.</t>
        </is>
      </c>
      <c r="F17" s="11">
        <f>Muavin!A4</f>
        <v/>
      </c>
      <c r="G17" s="27">
        <f>Muavin!F4</f>
        <v/>
      </c>
    </row>
    <row r="18">
      <c r="A18" s="28" t="inlineStr">
        <is>
          <t>2) Satışları Borç sütununa, tahsilatları Alacak sütununa yaz.</t>
        </is>
      </c>
      <c r="F18" s="11">
        <f>Muavin!A5</f>
        <v/>
      </c>
      <c r="G18" s="27">
        <f>Muavin!F5</f>
        <v/>
      </c>
    </row>
    <row r="19">
      <c r="A19" s="26" t="inlineStr">
        <is>
          <t>3) POS ödemelerini brüt tutarla gir.</t>
        </is>
      </c>
      <c r="F19" s="11">
        <f>Muavin!A6</f>
        <v/>
      </c>
      <c r="G19" s="27">
        <f>Muavin!F6</f>
        <v/>
      </c>
    </row>
    <row r="20">
      <c r="A20" s="28" t="inlineStr">
        <is>
          <t>4) Muavin ve dashboard otomatik güncellenir.</t>
        </is>
      </c>
      <c r="F20" s="11">
        <f>Muavin!A7</f>
        <v/>
      </c>
      <c r="G20" s="27">
        <f>Muavin!F7</f>
        <v/>
      </c>
    </row>
    <row r="21">
      <c r="F21" s="11">
        <f>Muavin!A8</f>
        <v/>
      </c>
      <c r="G21" s="27">
        <f>Muavin!F8</f>
        <v/>
      </c>
    </row>
    <row r="22">
      <c r="F22" s="11">
        <f>Muavin!A9</f>
        <v/>
      </c>
      <c r="G22" s="27">
        <f>Muavin!F9</f>
        <v/>
      </c>
    </row>
    <row r="23">
      <c r="F23" s="11">
        <f>Muavin!A10</f>
        <v/>
      </c>
      <c r="G23" s="27">
        <f>Muavin!F10</f>
        <v/>
      </c>
    </row>
    <row r="24">
      <c r="F24" s="11">
        <f>Muavin!A11</f>
        <v/>
      </c>
      <c r="G24" s="27">
        <f>Muavin!F11</f>
        <v/>
      </c>
    </row>
    <row r="25">
      <c r="F25" s="11">
        <f>Muavin!A12</f>
        <v/>
      </c>
      <c r="G25" s="27">
        <f>Muavin!F12</f>
        <v/>
      </c>
    </row>
    <row r="26">
      <c r="F26" s="11">
        <f>Muavin!A13</f>
        <v/>
      </c>
      <c r="G26" s="27">
        <f>Muavin!F13</f>
        <v/>
      </c>
    </row>
    <row r="27">
      <c r="F27" s="11">
        <f>Muavin!A14</f>
        <v/>
      </c>
      <c r="G27" s="27">
        <f>Muavin!F14</f>
        <v/>
      </c>
    </row>
    <row r="28">
      <c r="F28" s="11">
        <f>Muavin!A15</f>
        <v/>
      </c>
      <c r="G28" s="27">
        <f>Muavin!F15</f>
        <v/>
      </c>
    </row>
    <row r="29">
      <c r="F29" s="11">
        <f>Muavin!A16</f>
        <v/>
      </c>
      <c r="G29" s="27">
        <f>Muavin!F16</f>
        <v/>
      </c>
    </row>
    <row r="30">
      <c r="F30" s="11">
        <f>Muavin!A17</f>
        <v/>
      </c>
      <c r="G30" s="27">
        <f>Muavin!F17</f>
        <v/>
      </c>
    </row>
    <row r="31">
      <c r="F31" s="11">
        <f>Muavin!A18</f>
        <v/>
      </c>
      <c r="G31" s="27">
        <f>Muavin!F18</f>
        <v/>
      </c>
    </row>
    <row r="32">
      <c r="F32" s="11">
        <f>Muavin!A19</f>
        <v/>
      </c>
      <c r="G32" s="27">
        <f>Muavin!F19</f>
        <v/>
      </c>
    </row>
    <row r="33">
      <c r="F33" s="11">
        <f>Muavin!A20</f>
        <v/>
      </c>
      <c r="G33" s="27">
        <f>Muavin!F20</f>
        <v/>
      </c>
    </row>
    <row r="34">
      <c r="F34" s="11">
        <f>Muavin!A21</f>
        <v/>
      </c>
      <c r="G34" s="27">
        <f>Muavin!F21</f>
        <v/>
      </c>
    </row>
    <row r="35">
      <c r="F35" s="11">
        <f>Muavin!A22</f>
        <v/>
      </c>
      <c r="G35" s="27">
        <f>Muavin!F22</f>
        <v/>
      </c>
    </row>
    <row r="36">
      <c r="F36" s="11">
        <f>Muavin!A23</f>
        <v/>
      </c>
      <c r="G36" s="27">
        <f>Muavin!F23</f>
        <v/>
      </c>
    </row>
    <row r="37">
      <c r="F37" s="11">
        <f>Muavin!A24</f>
        <v/>
      </c>
      <c r="G37" s="27">
        <f>Muavin!F24</f>
        <v/>
      </c>
    </row>
    <row r="38">
      <c r="F38" s="11">
        <f>Muavin!A25</f>
        <v/>
      </c>
      <c r="G38" s="27">
        <f>Muavin!F25</f>
        <v/>
      </c>
    </row>
    <row r="39">
      <c r="F39" s="11">
        <f>Muavin!A26</f>
        <v/>
      </c>
      <c r="G39" s="27">
        <f>Muavin!F26</f>
        <v/>
      </c>
    </row>
    <row r="40">
      <c r="F40" s="11">
        <f>Muavin!A27</f>
        <v/>
      </c>
      <c r="G40" s="27">
        <f>Muavin!F27</f>
        <v/>
      </c>
    </row>
    <row r="41">
      <c r="F41" s="11">
        <f>Muavin!A28</f>
        <v/>
      </c>
      <c r="G41" s="27">
        <f>Muavin!F28</f>
        <v/>
      </c>
    </row>
    <row r="42">
      <c r="F42" s="11">
        <f>Muavin!A29</f>
        <v/>
      </c>
      <c r="G42" s="27">
        <f>Muavin!F29</f>
        <v/>
      </c>
    </row>
    <row r="43">
      <c r="F43" s="11">
        <f>Muavin!A30</f>
        <v/>
      </c>
      <c r="G43" s="27">
        <f>Muavin!F30</f>
        <v/>
      </c>
    </row>
    <row r="44">
      <c r="F44" s="11">
        <f>Muavin!A31</f>
        <v/>
      </c>
      <c r="G44" s="27">
        <f>Muavin!F31</f>
        <v/>
      </c>
    </row>
    <row r="45">
      <c r="F45" s="11">
        <f>Muavin!A32</f>
        <v/>
      </c>
      <c r="G45" s="27">
        <f>Muavin!F32</f>
        <v/>
      </c>
    </row>
    <row r="46">
      <c r="F46" s="11">
        <f>Muavin!A33</f>
        <v/>
      </c>
      <c r="G46" s="27">
        <f>Muavin!F33</f>
        <v/>
      </c>
    </row>
    <row r="47">
      <c r="F47" s="11">
        <f>Muavin!A34</f>
        <v/>
      </c>
      <c r="G47" s="27">
        <f>Muavin!F34</f>
        <v/>
      </c>
    </row>
    <row r="48">
      <c r="F48" s="11">
        <f>Muavin!A35</f>
        <v/>
      </c>
      <c r="G48" s="27">
        <f>Muavin!F35</f>
        <v/>
      </c>
    </row>
    <row r="49">
      <c r="F49" s="11">
        <f>Muavin!A36</f>
        <v/>
      </c>
      <c r="G49" s="27">
        <f>Muavin!F36</f>
        <v/>
      </c>
    </row>
    <row r="50">
      <c r="F50" s="11">
        <f>Muavin!A37</f>
        <v/>
      </c>
      <c r="G50" s="27">
        <f>Muavin!F37</f>
        <v/>
      </c>
    </row>
    <row r="51">
      <c r="F51" s="11">
        <f>Muavin!A38</f>
        <v/>
      </c>
      <c r="G51" s="27">
        <f>Muavin!F38</f>
        <v/>
      </c>
    </row>
    <row r="52">
      <c r="F52" s="11">
        <f>Muavin!A39</f>
        <v/>
      </c>
      <c r="G52" s="27">
        <f>Muavin!F39</f>
        <v/>
      </c>
    </row>
    <row r="53">
      <c r="F53" s="11">
        <f>Muavin!A40</f>
        <v/>
      </c>
      <c r="G53" s="27">
        <f>Muavin!F40</f>
        <v/>
      </c>
    </row>
    <row r="54">
      <c r="F54" s="11">
        <f>Muavin!A41</f>
        <v/>
      </c>
      <c r="G54" s="27">
        <f>Muavin!F41</f>
        <v/>
      </c>
    </row>
    <row r="55">
      <c r="F55" s="11">
        <f>Muavin!A42</f>
        <v/>
      </c>
      <c r="G55" s="27">
        <f>Muavin!F42</f>
        <v/>
      </c>
    </row>
    <row r="56">
      <c r="F56" s="11">
        <f>Muavin!A43</f>
        <v/>
      </c>
      <c r="G56" s="27">
        <f>Muavin!F43</f>
        <v/>
      </c>
    </row>
    <row r="57">
      <c r="F57" s="11">
        <f>Muavin!A44</f>
        <v/>
      </c>
      <c r="G57" s="27">
        <f>Muavin!F44</f>
        <v/>
      </c>
    </row>
    <row r="58">
      <c r="F58" s="11">
        <f>Muavin!A45</f>
        <v/>
      </c>
      <c r="G58" s="27">
        <f>Muavin!F45</f>
        <v/>
      </c>
    </row>
    <row r="59">
      <c r="F59" s="11">
        <f>Muavin!A46</f>
        <v/>
      </c>
      <c r="G59" s="27">
        <f>Muavin!F46</f>
        <v/>
      </c>
    </row>
    <row r="60">
      <c r="F60" s="11">
        <f>Muavin!A47</f>
        <v/>
      </c>
      <c r="G60" s="27">
        <f>Muavin!F47</f>
        <v/>
      </c>
    </row>
    <row r="61">
      <c r="F61" s="11">
        <f>Muavin!A48</f>
        <v/>
      </c>
      <c r="G61" s="27">
        <f>Muavin!F48</f>
        <v/>
      </c>
    </row>
    <row r="62">
      <c r="F62" s="11">
        <f>Muavin!A49</f>
        <v/>
      </c>
      <c r="G62" s="27">
        <f>Muavin!F49</f>
        <v/>
      </c>
    </row>
    <row r="63">
      <c r="F63" s="11">
        <f>Muavin!A50</f>
        <v/>
      </c>
      <c r="G63" s="27">
        <f>Muavin!F50</f>
        <v/>
      </c>
    </row>
    <row r="64">
      <c r="F64" s="11">
        <f>Muavin!A51</f>
        <v/>
      </c>
      <c r="G64" s="27">
        <f>Muavin!F51</f>
        <v/>
      </c>
    </row>
    <row r="65">
      <c r="F65" s="11">
        <f>Muavin!A52</f>
        <v/>
      </c>
      <c r="G65" s="27">
        <f>Muavin!F52</f>
        <v/>
      </c>
    </row>
    <row r="66">
      <c r="F66" s="11">
        <f>Muavin!A53</f>
        <v/>
      </c>
      <c r="G66" s="27">
        <f>Muavin!F53</f>
        <v/>
      </c>
    </row>
    <row r="67">
      <c r="F67" s="11">
        <f>Muavin!A54</f>
        <v/>
      </c>
      <c r="G67" s="27">
        <f>Muavin!F54</f>
        <v/>
      </c>
    </row>
    <row r="68">
      <c r="F68" s="11">
        <f>Muavin!A55</f>
        <v/>
      </c>
      <c r="G68" s="27">
        <f>Muavin!F55</f>
        <v/>
      </c>
    </row>
    <row r="69">
      <c r="F69" s="11">
        <f>Muavin!A56</f>
        <v/>
      </c>
      <c r="G69" s="27">
        <f>Muavin!F56</f>
        <v/>
      </c>
    </row>
    <row r="70">
      <c r="F70" s="11">
        <f>Muavin!A57</f>
        <v/>
      </c>
      <c r="G70" s="27">
        <f>Muavin!F57</f>
        <v/>
      </c>
    </row>
    <row r="71">
      <c r="F71" s="11">
        <f>Muavin!A58</f>
        <v/>
      </c>
      <c r="G71" s="27">
        <f>Muavin!F58</f>
        <v/>
      </c>
    </row>
    <row r="72">
      <c r="F72" s="11">
        <f>Muavin!A59</f>
        <v/>
      </c>
      <c r="G72" s="27">
        <f>Muavin!F59</f>
        <v/>
      </c>
    </row>
    <row r="73">
      <c r="F73" s="11">
        <f>Muavin!A60</f>
        <v/>
      </c>
      <c r="G73" s="27">
        <f>Muavin!F60</f>
        <v/>
      </c>
    </row>
    <row r="74">
      <c r="F74" s="11">
        <f>Muavin!A61</f>
        <v/>
      </c>
      <c r="G74" s="27">
        <f>Muavin!F61</f>
        <v/>
      </c>
    </row>
    <row r="75">
      <c r="F75" s="11">
        <f>Muavin!A62</f>
        <v/>
      </c>
      <c r="G75" s="27">
        <f>Muavin!F62</f>
        <v/>
      </c>
    </row>
    <row r="76">
      <c r="F76" s="11">
        <f>Muavin!A63</f>
        <v/>
      </c>
      <c r="G76" s="27">
        <f>Muavin!F63</f>
        <v/>
      </c>
    </row>
    <row r="77">
      <c r="F77" s="11">
        <f>Muavin!A64</f>
        <v/>
      </c>
      <c r="G77" s="27">
        <f>Muavin!F64</f>
        <v/>
      </c>
    </row>
    <row r="78">
      <c r="F78" s="11">
        <f>Muavin!A65</f>
        <v/>
      </c>
      <c r="G78" s="27">
        <f>Muavin!F65</f>
        <v/>
      </c>
    </row>
    <row r="79">
      <c r="F79" s="11">
        <f>Muavin!A66</f>
        <v/>
      </c>
      <c r="G79" s="27">
        <f>Muavin!F66</f>
        <v/>
      </c>
    </row>
    <row r="80">
      <c r="F80" s="11">
        <f>Muavin!A67</f>
        <v/>
      </c>
      <c r="G80" s="27">
        <f>Muavin!F67</f>
        <v/>
      </c>
    </row>
    <row r="81">
      <c r="F81" s="11">
        <f>Muavin!A68</f>
        <v/>
      </c>
      <c r="G81" s="27">
        <f>Muavin!F68</f>
        <v/>
      </c>
    </row>
    <row r="82">
      <c r="F82" s="11">
        <f>Muavin!A69</f>
        <v/>
      </c>
      <c r="G82" s="27">
        <f>Muavin!F69</f>
        <v/>
      </c>
    </row>
    <row r="83">
      <c r="F83" s="11">
        <f>Muavin!A70</f>
        <v/>
      </c>
      <c r="G83" s="27">
        <f>Muavin!F70</f>
        <v/>
      </c>
    </row>
    <row r="84">
      <c r="F84" s="11">
        <f>Muavin!A71</f>
        <v/>
      </c>
      <c r="G84" s="27">
        <f>Muavin!F71</f>
        <v/>
      </c>
    </row>
    <row r="85">
      <c r="F85" s="11">
        <f>Muavin!A72</f>
        <v/>
      </c>
      <c r="G85" s="27">
        <f>Muavin!F72</f>
        <v/>
      </c>
    </row>
    <row r="86">
      <c r="F86" s="11">
        <f>Muavin!A73</f>
        <v/>
      </c>
      <c r="G86" s="27">
        <f>Muavin!F73</f>
        <v/>
      </c>
    </row>
    <row r="87">
      <c r="F87" s="11">
        <f>Muavin!A74</f>
        <v/>
      </c>
      <c r="G87" s="27">
        <f>Muavin!F74</f>
        <v/>
      </c>
    </row>
    <row r="88">
      <c r="F88" s="11">
        <f>Muavin!A75</f>
        <v/>
      </c>
      <c r="G88" s="27">
        <f>Muavin!F75</f>
        <v/>
      </c>
    </row>
    <row r="89">
      <c r="F89" s="11">
        <f>Muavin!A76</f>
        <v/>
      </c>
      <c r="G89" s="27">
        <f>Muavin!F76</f>
        <v/>
      </c>
    </row>
    <row r="90">
      <c r="F90" s="11">
        <f>Muavin!A77</f>
        <v/>
      </c>
      <c r="G90" s="27">
        <f>Muavin!F77</f>
        <v/>
      </c>
    </row>
    <row r="91">
      <c r="F91" s="11">
        <f>Muavin!A78</f>
        <v/>
      </c>
      <c r="G91" s="27">
        <f>Muavin!F78</f>
        <v/>
      </c>
    </row>
    <row r="92">
      <c r="F92" s="11">
        <f>Muavin!A79</f>
        <v/>
      </c>
      <c r="G92" s="27">
        <f>Muavin!F79</f>
        <v/>
      </c>
    </row>
    <row r="93">
      <c r="F93" s="11">
        <f>Muavin!A80</f>
        <v/>
      </c>
      <c r="G93" s="27">
        <f>Muavin!F80</f>
        <v/>
      </c>
    </row>
    <row r="94">
      <c r="F94" s="11">
        <f>Muavin!A81</f>
        <v/>
      </c>
      <c r="G94" s="27">
        <f>Muavin!F81</f>
        <v/>
      </c>
    </row>
    <row r="95">
      <c r="F95" s="11">
        <f>Muavin!A82</f>
        <v/>
      </c>
      <c r="G95" s="27">
        <f>Muavin!F82</f>
        <v/>
      </c>
    </row>
    <row r="96">
      <c r="F96" s="11">
        <f>Muavin!A83</f>
        <v/>
      </c>
      <c r="G96" s="27">
        <f>Muavin!F83</f>
        <v/>
      </c>
    </row>
    <row r="97">
      <c r="F97" s="11">
        <f>Muavin!A84</f>
        <v/>
      </c>
      <c r="G97" s="27">
        <f>Muavin!F84</f>
        <v/>
      </c>
    </row>
    <row r="98">
      <c r="F98" s="11">
        <f>Muavin!A85</f>
        <v/>
      </c>
      <c r="G98" s="27">
        <f>Muavin!F85</f>
        <v/>
      </c>
    </row>
    <row r="99">
      <c r="F99" s="11">
        <f>Muavin!A86</f>
        <v/>
      </c>
      <c r="G99" s="27">
        <f>Muavin!F86</f>
        <v/>
      </c>
    </row>
    <row r="100">
      <c r="F100" s="11">
        <f>Muavin!A87</f>
        <v/>
      </c>
      <c r="G100" s="27">
        <f>Muavin!F87</f>
        <v/>
      </c>
    </row>
    <row r="101">
      <c r="F101" s="11">
        <f>Muavin!A88</f>
        <v/>
      </c>
      <c r="G101" s="27">
        <f>Muavin!F88</f>
        <v/>
      </c>
    </row>
    <row r="102">
      <c r="F102" s="11">
        <f>Muavin!A89</f>
        <v/>
      </c>
      <c r="G102" s="27">
        <f>Muavin!F89</f>
        <v/>
      </c>
    </row>
    <row r="103">
      <c r="F103" s="11">
        <f>Muavin!A90</f>
        <v/>
      </c>
      <c r="G103" s="27">
        <f>Muavin!F90</f>
        <v/>
      </c>
    </row>
    <row r="104">
      <c r="F104" s="11">
        <f>Muavin!A91</f>
        <v/>
      </c>
      <c r="G104" s="27">
        <f>Muavin!F91</f>
        <v/>
      </c>
    </row>
    <row r="105">
      <c r="F105" s="11">
        <f>Muavin!A92</f>
        <v/>
      </c>
      <c r="G105" s="27">
        <f>Muavin!F92</f>
        <v/>
      </c>
    </row>
    <row r="106">
      <c r="F106" s="11">
        <f>Muavin!A93</f>
        <v/>
      </c>
      <c r="G106" s="27">
        <f>Muavin!F93</f>
        <v/>
      </c>
    </row>
    <row r="107">
      <c r="F107" s="11">
        <f>Muavin!A94</f>
        <v/>
      </c>
      <c r="G107" s="27">
        <f>Muavin!F94</f>
        <v/>
      </c>
    </row>
    <row r="108">
      <c r="F108" s="11">
        <f>Muavin!A95</f>
        <v/>
      </c>
      <c r="G108" s="27">
        <f>Muavin!F95</f>
        <v/>
      </c>
    </row>
    <row r="109">
      <c r="F109" s="11">
        <f>Muavin!A96</f>
        <v/>
      </c>
      <c r="G109" s="27">
        <f>Muavin!F96</f>
        <v/>
      </c>
    </row>
    <row r="110">
      <c r="F110" s="11">
        <f>Muavin!A97</f>
        <v/>
      </c>
      <c r="G110" s="27">
        <f>Muavin!F97</f>
        <v/>
      </c>
    </row>
    <row r="111">
      <c r="F111" s="11">
        <f>Muavin!A98</f>
        <v/>
      </c>
      <c r="G111" s="27">
        <f>Muavin!F98</f>
        <v/>
      </c>
    </row>
    <row r="112">
      <c r="F112" s="11">
        <f>Muavin!A99</f>
        <v/>
      </c>
      <c r="G112" s="27">
        <f>Muavin!F99</f>
        <v/>
      </c>
    </row>
    <row r="113">
      <c r="F113" s="11">
        <f>Muavin!A100</f>
        <v/>
      </c>
      <c r="G113" s="27">
        <f>Muavin!F100</f>
        <v/>
      </c>
    </row>
    <row r="114">
      <c r="F114" s="11">
        <f>Muavin!A101</f>
        <v/>
      </c>
      <c r="G114" s="27">
        <f>Muavin!F101</f>
        <v/>
      </c>
    </row>
    <row r="115">
      <c r="F115" s="11">
        <f>Muavin!A102</f>
        <v/>
      </c>
      <c r="G115" s="27">
        <f>Muavin!F102</f>
        <v/>
      </c>
    </row>
    <row r="116">
      <c r="F116" s="11">
        <f>Muavin!A103</f>
        <v/>
      </c>
      <c r="G116" s="27">
        <f>Muavin!F103</f>
        <v/>
      </c>
    </row>
    <row r="117">
      <c r="F117" s="11">
        <f>Muavin!A104</f>
        <v/>
      </c>
      <c r="G117" s="27">
        <f>Muavin!F104</f>
        <v/>
      </c>
    </row>
    <row r="118">
      <c r="F118" s="11">
        <f>Muavin!A105</f>
        <v/>
      </c>
      <c r="G118" s="27">
        <f>Muavin!F105</f>
        <v/>
      </c>
    </row>
    <row r="119">
      <c r="F119" s="11">
        <f>Muavin!A106</f>
        <v/>
      </c>
      <c r="G119" s="27">
        <f>Muavin!F106</f>
        <v/>
      </c>
    </row>
    <row r="120">
      <c r="F120" s="11">
        <f>Muavin!A107</f>
        <v/>
      </c>
      <c r="G120" s="27">
        <f>Muavin!F107</f>
        <v/>
      </c>
    </row>
    <row r="121">
      <c r="F121" s="11">
        <f>Muavin!A108</f>
        <v/>
      </c>
      <c r="G121" s="27">
        <f>Muavin!F108</f>
        <v/>
      </c>
    </row>
    <row r="122">
      <c r="F122" s="11">
        <f>Muavin!A109</f>
        <v/>
      </c>
      <c r="G122" s="27">
        <f>Muavin!F109</f>
        <v/>
      </c>
    </row>
    <row r="123">
      <c r="F123" s="11">
        <f>Muavin!A110</f>
        <v/>
      </c>
      <c r="G123" s="27">
        <f>Muavin!F110</f>
        <v/>
      </c>
    </row>
    <row r="124">
      <c r="F124" s="11">
        <f>Muavin!A111</f>
        <v/>
      </c>
      <c r="G124" s="27">
        <f>Muavin!F111</f>
        <v/>
      </c>
    </row>
    <row r="125">
      <c r="F125" s="11">
        <f>Muavin!A112</f>
        <v/>
      </c>
      <c r="G125" s="27">
        <f>Muavin!F112</f>
        <v/>
      </c>
    </row>
    <row r="126">
      <c r="F126" s="11">
        <f>Muavin!A113</f>
        <v/>
      </c>
      <c r="G126" s="27">
        <f>Muavin!F113</f>
        <v/>
      </c>
    </row>
    <row r="127">
      <c r="F127" s="11">
        <f>Muavin!A114</f>
        <v/>
      </c>
      <c r="G127" s="27">
        <f>Muavin!F114</f>
        <v/>
      </c>
    </row>
    <row r="128">
      <c r="F128" s="11">
        <f>Muavin!A115</f>
        <v/>
      </c>
      <c r="G128" s="27">
        <f>Muavin!F115</f>
        <v/>
      </c>
    </row>
    <row r="129">
      <c r="F129" s="11">
        <f>Muavin!A116</f>
        <v/>
      </c>
      <c r="G129" s="27">
        <f>Muavin!F116</f>
        <v/>
      </c>
    </row>
    <row r="130">
      <c r="F130" s="11">
        <f>Muavin!A117</f>
        <v/>
      </c>
      <c r="G130" s="27">
        <f>Muavin!F117</f>
        <v/>
      </c>
    </row>
    <row r="131">
      <c r="F131" s="11">
        <f>Muavin!A118</f>
        <v/>
      </c>
      <c r="G131" s="27">
        <f>Muavin!F118</f>
        <v/>
      </c>
    </row>
    <row r="132">
      <c r="F132" s="11">
        <f>Muavin!A119</f>
        <v/>
      </c>
      <c r="G132" s="27">
        <f>Muavin!F119</f>
        <v/>
      </c>
    </row>
    <row r="133">
      <c r="F133" s="11">
        <f>Muavin!A120</f>
        <v/>
      </c>
      <c r="G133" s="27">
        <f>Muavin!F120</f>
        <v/>
      </c>
    </row>
    <row r="134">
      <c r="F134" s="11">
        <f>Muavin!A121</f>
        <v/>
      </c>
      <c r="G134" s="27">
        <f>Muavin!F121</f>
        <v/>
      </c>
    </row>
    <row r="135">
      <c r="F135" s="11">
        <f>Muavin!A122</f>
        <v/>
      </c>
      <c r="G135" s="27">
        <f>Muavin!F122</f>
        <v/>
      </c>
    </row>
    <row r="136">
      <c r="F136" s="11">
        <f>Muavin!A123</f>
        <v/>
      </c>
      <c r="G136" s="27">
        <f>Muavin!F123</f>
        <v/>
      </c>
    </row>
    <row r="137">
      <c r="F137" s="11">
        <f>Muavin!A124</f>
        <v/>
      </c>
      <c r="G137" s="27">
        <f>Muavin!F124</f>
        <v/>
      </c>
    </row>
    <row r="138">
      <c r="F138" s="11">
        <f>Muavin!A125</f>
        <v/>
      </c>
      <c r="G138" s="27">
        <f>Muavin!F125</f>
        <v/>
      </c>
    </row>
    <row r="139">
      <c r="F139" s="11">
        <f>Muavin!A126</f>
        <v/>
      </c>
      <c r="G139" s="27">
        <f>Muavin!F126</f>
        <v/>
      </c>
    </row>
    <row r="140">
      <c r="F140" s="11">
        <f>Muavin!A127</f>
        <v/>
      </c>
      <c r="G140" s="27">
        <f>Muavin!F127</f>
        <v/>
      </c>
    </row>
    <row r="141">
      <c r="F141" s="11">
        <f>Muavin!A128</f>
        <v/>
      </c>
      <c r="G141" s="27">
        <f>Muavin!F128</f>
        <v/>
      </c>
    </row>
    <row r="142">
      <c r="F142" s="11">
        <f>Muavin!A129</f>
        <v/>
      </c>
      <c r="G142" s="27">
        <f>Muavin!F129</f>
        <v/>
      </c>
    </row>
    <row r="143">
      <c r="F143" s="11">
        <f>Muavin!A130</f>
        <v/>
      </c>
      <c r="G143" s="27">
        <f>Muavin!F130</f>
        <v/>
      </c>
    </row>
    <row r="144">
      <c r="F144" s="11">
        <f>Muavin!A131</f>
        <v/>
      </c>
      <c r="G144" s="27">
        <f>Muavin!F131</f>
        <v/>
      </c>
    </row>
    <row r="145">
      <c r="F145" s="11">
        <f>Muavin!A132</f>
        <v/>
      </c>
      <c r="G145" s="27">
        <f>Muavin!F132</f>
        <v/>
      </c>
    </row>
    <row r="146">
      <c r="F146" s="11">
        <f>Muavin!A133</f>
        <v/>
      </c>
      <c r="G146" s="27">
        <f>Muavin!F133</f>
        <v/>
      </c>
    </row>
    <row r="147">
      <c r="F147" s="11">
        <f>Muavin!A134</f>
        <v/>
      </c>
      <c r="G147" s="27">
        <f>Muavin!F134</f>
        <v/>
      </c>
    </row>
    <row r="148">
      <c r="F148" s="11">
        <f>Muavin!A135</f>
        <v/>
      </c>
      <c r="G148" s="27">
        <f>Muavin!F135</f>
        <v/>
      </c>
    </row>
    <row r="149">
      <c r="F149" s="11">
        <f>Muavin!A136</f>
        <v/>
      </c>
      <c r="G149" s="27">
        <f>Muavin!F136</f>
        <v/>
      </c>
    </row>
    <row r="150">
      <c r="F150" s="11">
        <f>Muavin!A137</f>
        <v/>
      </c>
      <c r="G150" s="27">
        <f>Muavin!F137</f>
        <v/>
      </c>
    </row>
    <row r="151">
      <c r="F151" s="11">
        <f>Muavin!A138</f>
        <v/>
      </c>
      <c r="G151" s="27">
        <f>Muavin!F138</f>
        <v/>
      </c>
    </row>
    <row r="152">
      <c r="F152" s="11">
        <f>Muavin!A139</f>
        <v/>
      </c>
      <c r="G152" s="27">
        <f>Muavin!F139</f>
        <v/>
      </c>
    </row>
    <row r="153">
      <c r="F153" s="11">
        <f>Muavin!A140</f>
        <v/>
      </c>
      <c r="G153" s="27">
        <f>Muavin!F140</f>
        <v/>
      </c>
    </row>
    <row r="154">
      <c r="F154" s="11">
        <f>Muavin!A141</f>
        <v/>
      </c>
      <c r="G154" s="27">
        <f>Muavin!F141</f>
        <v/>
      </c>
    </row>
    <row r="155">
      <c r="F155" s="11">
        <f>Muavin!A142</f>
        <v/>
      </c>
      <c r="G155" s="27">
        <f>Muavin!F142</f>
        <v/>
      </c>
    </row>
    <row r="156">
      <c r="F156" s="11">
        <f>Muavin!A143</f>
        <v/>
      </c>
      <c r="G156" s="27">
        <f>Muavin!F143</f>
        <v/>
      </c>
    </row>
    <row r="157">
      <c r="F157" s="11">
        <f>Muavin!A144</f>
        <v/>
      </c>
      <c r="G157" s="27">
        <f>Muavin!F144</f>
        <v/>
      </c>
    </row>
    <row r="158">
      <c r="F158" s="11">
        <f>Muavin!A145</f>
        <v/>
      </c>
      <c r="G158" s="27">
        <f>Muavin!F145</f>
        <v/>
      </c>
    </row>
    <row r="159">
      <c r="F159" s="11">
        <f>Muavin!A146</f>
        <v/>
      </c>
      <c r="G159" s="27">
        <f>Muavin!F146</f>
        <v/>
      </c>
    </row>
    <row r="160">
      <c r="F160" s="11">
        <f>Muavin!A147</f>
        <v/>
      </c>
      <c r="G160" s="27">
        <f>Muavin!F147</f>
        <v/>
      </c>
    </row>
    <row r="161">
      <c r="F161" s="11">
        <f>Muavin!A148</f>
        <v/>
      </c>
      <c r="G161" s="27">
        <f>Muavin!F148</f>
        <v/>
      </c>
    </row>
    <row r="162">
      <c r="F162" s="11">
        <f>Muavin!A149</f>
        <v/>
      </c>
      <c r="G162" s="27">
        <f>Muavin!F149</f>
        <v/>
      </c>
    </row>
    <row r="163">
      <c r="F163" s="11">
        <f>Muavin!A150</f>
        <v/>
      </c>
      <c r="G163" s="27">
        <f>Muavin!F150</f>
        <v/>
      </c>
    </row>
    <row r="164">
      <c r="F164" s="11">
        <f>Muavin!A151</f>
        <v/>
      </c>
      <c r="G164" s="27">
        <f>Muavin!F151</f>
        <v/>
      </c>
    </row>
    <row r="165">
      <c r="F165" s="11">
        <f>Muavin!A152</f>
        <v/>
      </c>
      <c r="G165" s="27">
        <f>Muavin!F152</f>
        <v/>
      </c>
    </row>
    <row r="166">
      <c r="F166" s="11">
        <f>Muavin!A153</f>
        <v/>
      </c>
      <c r="G166" s="27">
        <f>Muavin!F153</f>
        <v/>
      </c>
    </row>
    <row r="167">
      <c r="F167" s="11">
        <f>Muavin!A154</f>
        <v/>
      </c>
      <c r="G167" s="27">
        <f>Muavin!F154</f>
        <v/>
      </c>
    </row>
    <row r="168">
      <c r="F168" s="11">
        <f>Muavin!A155</f>
        <v/>
      </c>
      <c r="G168" s="27">
        <f>Muavin!F155</f>
        <v/>
      </c>
    </row>
    <row r="169">
      <c r="F169" s="11">
        <f>Muavin!A156</f>
        <v/>
      </c>
      <c r="G169" s="27">
        <f>Muavin!F156</f>
        <v/>
      </c>
    </row>
    <row r="170">
      <c r="F170" s="11">
        <f>Muavin!A157</f>
        <v/>
      </c>
      <c r="G170" s="27">
        <f>Muavin!F157</f>
        <v/>
      </c>
    </row>
    <row r="171">
      <c r="F171" s="11">
        <f>Muavin!A158</f>
        <v/>
      </c>
      <c r="G171" s="27">
        <f>Muavin!F158</f>
        <v/>
      </c>
    </row>
    <row r="172">
      <c r="F172" s="11">
        <f>Muavin!A159</f>
        <v/>
      </c>
      <c r="G172" s="27">
        <f>Muavin!F159</f>
        <v/>
      </c>
    </row>
    <row r="173">
      <c r="F173" s="11">
        <f>Muavin!A160</f>
        <v/>
      </c>
      <c r="G173" s="27">
        <f>Muavin!F160</f>
        <v/>
      </c>
    </row>
    <row r="174">
      <c r="F174" s="11">
        <f>Muavin!A161</f>
        <v/>
      </c>
      <c r="G174" s="27">
        <f>Muavin!F161</f>
        <v/>
      </c>
    </row>
    <row r="175">
      <c r="F175" s="11">
        <f>Muavin!A162</f>
        <v/>
      </c>
      <c r="G175" s="27">
        <f>Muavin!F162</f>
        <v/>
      </c>
    </row>
    <row r="176">
      <c r="F176" s="11">
        <f>Muavin!A163</f>
        <v/>
      </c>
      <c r="G176" s="27">
        <f>Muavin!F163</f>
        <v/>
      </c>
    </row>
    <row r="177">
      <c r="F177" s="11">
        <f>Muavin!A164</f>
        <v/>
      </c>
      <c r="G177" s="27">
        <f>Muavin!F164</f>
        <v/>
      </c>
    </row>
    <row r="178">
      <c r="F178" s="11">
        <f>Muavin!A165</f>
        <v/>
      </c>
      <c r="G178" s="27">
        <f>Muavin!F165</f>
        <v/>
      </c>
    </row>
    <row r="179">
      <c r="F179" s="11">
        <f>Muavin!A166</f>
        <v/>
      </c>
      <c r="G179" s="27">
        <f>Muavin!F166</f>
        <v/>
      </c>
    </row>
    <row r="180">
      <c r="F180" s="11">
        <f>Muavin!A167</f>
        <v/>
      </c>
      <c r="G180" s="27">
        <f>Muavin!F167</f>
        <v/>
      </c>
    </row>
    <row r="181">
      <c r="F181" s="11">
        <f>Muavin!A168</f>
        <v/>
      </c>
      <c r="G181" s="27">
        <f>Muavin!F168</f>
        <v/>
      </c>
    </row>
    <row r="182">
      <c r="F182" s="11">
        <f>Muavin!A169</f>
        <v/>
      </c>
      <c r="G182" s="27">
        <f>Muavin!F169</f>
        <v/>
      </c>
    </row>
    <row r="183">
      <c r="F183" s="11">
        <f>Muavin!A170</f>
        <v/>
      </c>
      <c r="G183" s="27">
        <f>Muavin!F170</f>
        <v/>
      </c>
    </row>
    <row r="184">
      <c r="F184" s="11">
        <f>Muavin!A171</f>
        <v/>
      </c>
      <c r="G184" s="27">
        <f>Muavin!F171</f>
        <v/>
      </c>
    </row>
    <row r="185">
      <c r="F185" s="11">
        <f>Muavin!A172</f>
        <v/>
      </c>
      <c r="G185" s="27">
        <f>Muavin!F172</f>
        <v/>
      </c>
    </row>
    <row r="186">
      <c r="F186" s="11">
        <f>Muavin!A173</f>
        <v/>
      </c>
      <c r="G186" s="27">
        <f>Muavin!F173</f>
        <v/>
      </c>
    </row>
    <row r="187">
      <c r="F187" s="11">
        <f>Muavin!A174</f>
        <v/>
      </c>
      <c r="G187" s="27">
        <f>Muavin!F174</f>
        <v/>
      </c>
    </row>
    <row r="188">
      <c r="F188" s="11">
        <f>Muavin!A175</f>
        <v/>
      </c>
      <c r="G188" s="27">
        <f>Muavin!F175</f>
        <v/>
      </c>
    </row>
    <row r="189">
      <c r="F189" s="11">
        <f>Muavin!A176</f>
        <v/>
      </c>
      <c r="G189" s="27">
        <f>Muavin!F176</f>
        <v/>
      </c>
    </row>
    <row r="190">
      <c r="F190" s="11">
        <f>Muavin!A177</f>
        <v/>
      </c>
      <c r="G190" s="27">
        <f>Muavin!F177</f>
        <v/>
      </c>
    </row>
    <row r="191">
      <c r="F191" s="11">
        <f>Muavin!A178</f>
        <v/>
      </c>
      <c r="G191" s="27">
        <f>Muavin!F178</f>
        <v/>
      </c>
    </row>
    <row r="192">
      <c r="F192" s="11">
        <f>Muavin!A179</f>
        <v/>
      </c>
      <c r="G192" s="27">
        <f>Muavin!F179</f>
        <v/>
      </c>
    </row>
    <row r="193">
      <c r="F193" s="11">
        <f>Muavin!A180</f>
        <v/>
      </c>
      <c r="G193" s="27">
        <f>Muavin!F180</f>
        <v/>
      </c>
    </row>
    <row r="194">
      <c r="F194" s="11">
        <f>Muavin!A181</f>
        <v/>
      </c>
      <c r="G194" s="27">
        <f>Muavin!F181</f>
        <v/>
      </c>
    </row>
    <row r="195">
      <c r="F195" s="11">
        <f>Muavin!A182</f>
        <v/>
      </c>
      <c r="G195" s="27">
        <f>Muavin!F182</f>
        <v/>
      </c>
    </row>
    <row r="196">
      <c r="F196" s="11">
        <f>Muavin!A183</f>
        <v/>
      </c>
      <c r="G196" s="27">
        <f>Muavin!F183</f>
        <v/>
      </c>
    </row>
    <row r="197">
      <c r="F197" s="11">
        <f>Muavin!A184</f>
        <v/>
      </c>
      <c r="G197" s="27">
        <f>Muavin!F184</f>
        <v/>
      </c>
    </row>
    <row r="198">
      <c r="F198" s="11">
        <f>Muavin!A185</f>
        <v/>
      </c>
      <c r="G198" s="27">
        <f>Muavin!F185</f>
        <v/>
      </c>
    </row>
    <row r="199">
      <c r="F199" s="11">
        <f>Muavin!A186</f>
        <v/>
      </c>
      <c r="G199" s="27">
        <f>Muavin!F186</f>
        <v/>
      </c>
    </row>
    <row r="200">
      <c r="F200" s="11">
        <f>Muavin!A187</f>
        <v/>
      </c>
      <c r="G200" s="27">
        <f>Muavin!F187</f>
        <v/>
      </c>
    </row>
    <row r="201">
      <c r="F201" s="11">
        <f>Muavin!A188</f>
        <v/>
      </c>
      <c r="G201" s="27">
        <f>Muavin!F188</f>
        <v/>
      </c>
    </row>
    <row r="202">
      <c r="F202" s="11">
        <f>Muavin!A189</f>
        <v/>
      </c>
      <c r="G202" s="27">
        <f>Muavin!F189</f>
        <v/>
      </c>
    </row>
    <row r="203">
      <c r="F203" s="11">
        <f>Muavin!A190</f>
        <v/>
      </c>
      <c r="G203" s="27">
        <f>Muavin!F190</f>
        <v/>
      </c>
    </row>
    <row r="204">
      <c r="F204" s="11">
        <f>Muavin!A191</f>
        <v/>
      </c>
      <c r="G204" s="27">
        <f>Muavin!F191</f>
        <v/>
      </c>
    </row>
    <row r="205">
      <c r="F205" s="11">
        <f>Muavin!A192</f>
        <v/>
      </c>
      <c r="G205" s="27">
        <f>Muavin!F192</f>
        <v/>
      </c>
    </row>
    <row r="206">
      <c r="F206" s="11">
        <f>Muavin!A193</f>
        <v/>
      </c>
      <c r="G206" s="27">
        <f>Muavin!F193</f>
        <v/>
      </c>
    </row>
    <row r="207">
      <c r="F207" s="11">
        <f>Muavin!A194</f>
        <v/>
      </c>
      <c r="G207" s="27">
        <f>Muavin!F194</f>
        <v/>
      </c>
    </row>
    <row r="208">
      <c r="F208" s="11">
        <f>Muavin!A195</f>
        <v/>
      </c>
      <c r="G208" s="27">
        <f>Muavin!F195</f>
        <v/>
      </c>
    </row>
    <row r="209">
      <c r="F209" s="11">
        <f>Muavin!A196</f>
        <v/>
      </c>
      <c r="G209" s="27">
        <f>Muavin!F196</f>
        <v/>
      </c>
    </row>
    <row r="210">
      <c r="F210" s="11">
        <f>Muavin!A197</f>
        <v/>
      </c>
      <c r="G210" s="27">
        <f>Muavin!F197</f>
        <v/>
      </c>
    </row>
    <row r="211">
      <c r="F211" s="11">
        <f>Muavin!A198</f>
        <v/>
      </c>
      <c r="G211" s="27">
        <f>Muavin!F198</f>
        <v/>
      </c>
    </row>
    <row r="212">
      <c r="F212" s="11">
        <f>Muavin!A199</f>
        <v/>
      </c>
      <c r="G212" s="27">
        <f>Muavin!F199</f>
        <v/>
      </c>
    </row>
    <row r="213">
      <c r="F213" s="11">
        <f>Muavin!A200</f>
        <v/>
      </c>
      <c r="G213" s="27">
        <f>Muavin!F200</f>
        <v/>
      </c>
    </row>
    <row r="214">
      <c r="F214" s="11">
        <f>Muavin!A201</f>
        <v/>
      </c>
      <c r="G214" s="27">
        <f>Muavin!F201</f>
        <v/>
      </c>
    </row>
    <row r="215">
      <c r="F215" s="11">
        <f>Muavin!A202</f>
        <v/>
      </c>
      <c r="G215" s="27">
        <f>Muavin!F202</f>
        <v/>
      </c>
    </row>
    <row r="216">
      <c r="F216" s="11">
        <f>Muavin!A203</f>
        <v/>
      </c>
      <c r="G216" s="27">
        <f>Muavin!F203</f>
        <v/>
      </c>
    </row>
  </sheetData>
  <mergeCells count="11">
    <mergeCell ref="A4:B4"/>
    <mergeCell ref="G4:H4"/>
    <mergeCell ref="E4:F4"/>
    <mergeCell ref="A9:H9"/>
    <mergeCell ref="C5:D6"/>
    <mergeCell ref="A5:B6"/>
    <mergeCell ref="G5:H6"/>
    <mergeCell ref="E5:F6"/>
    <mergeCell ref="A16:D16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OCAK DETAY</t>
        </is>
      </c>
    </row>
    <row r="3">
      <c r="A3" s="10" t="inlineStr">
        <is>
          <t>Tarih</t>
        </is>
      </c>
      <c r="B3" s="10" t="inlineStr">
        <is>
          <t>Tür</t>
        </is>
      </c>
      <c r="C3" s="10" t="inlineStr">
        <is>
          <t>Açıklama</t>
        </is>
      </c>
      <c r="D3" s="10" t="inlineStr">
        <is>
          <t>Borç</t>
        </is>
      </c>
      <c r="E3" s="10" t="inlineStr">
        <is>
          <t>Alacak</t>
        </is>
      </c>
      <c r="F3" s="10" t="inlineStr">
        <is>
          <t>Net</t>
        </is>
      </c>
    </row>
    <row r="4">
      <c r="A4" s="11">
        <f>IF('Hareket Girişi'!F6=1,'Hareket Girişi'!A6,"")</f>
        <v/>
      </c>
      <c r="B4">
        <f>IF($A4="", "", 'Hareket Girişi'!B6)</f>
        <v/>
      </c>
      <c r="C4">
        <f>IF($A4="", "", 'Hareket Girişi'!C6)</f>
        <v/>
      </c>
      <c r="D4" s="27">
        <f>IF($A4="", "", 'Hareket Girişi'!D6)</f>
        <v/>
      </c>
      <c r="E4" s="27">
        <f>IF($A4="", "", 'Hareket Girişi'!E6)</f>
        <v/>
      </c>
      <c r="F4" s="27">
        <f>IF($A4="", "", D4-E4)</f>
        <v/>
      </c>
    </row>
    <row r="5">
      <c r="A5" s="11">
        <f>IF('Hareket Girişi'!F7=1,'Hareket Girişi'!A7,"")</f>
        <v/>
      </c>
      <c r="B5">
        <f>IF($A5="", "", 'Hareket Girişi'!B7)</f>
        <v/>
      </c>
      <c r="C5">
        <f>IF($A5="", "", 'Hareket Girişi'!C7)</f>
        <v/>
      </c>
      <c r="D5" s="27">
        <f>IF($A5="", "", 'Hareket Girişi'!D7)</f>
        <v/>
      </c>
      <c r="E5" s="27">
        <f>IF($A5="", "", 'Hareket Girişi'!E7)</f>
        <v/>
      </c>
      <c r="F5" s="27">
        <f>IF($A5="", "", D5-E5)</f>
        <v/>
      </c>
    </row>
    <row r="6">
      <c r="A6" s="11">
        <f>IF('Hareket Girişi'!F8=1,'Hareket Girişi'!A8,"")</f>
        <v/>
      </c>
      <c r="B6">
        <f>IF($A6="", "", 'Hareket Girişi'!B8)</f>
        <v/>
      </c>
      <c r="C6">
        <f>IF($A6="", "", 'Hareket Girişi'!C8)</f>
        <v/>
      </c>
      <c r="D6" s="27">
        <f>IF($A6="", "", 'Hareket Girişi'!D8)</f>
        <v/>
      </c>
      <c r="E6" s="27">
        <f>IF($A6="", "", 'Hareket Girişi'!E8)</f>
        <v/>
      </c>
      <c r="F6" s="27">
        <f>IF($A6="", "", D6-E6)</f>
        <v/>
      </c>
    </row>
    <row r="7">
      <c r="A7" s="11">
        <f>IF('Hareket Girişi'!F9=1,'Hareket Girişi'!A9,"")</f>
        <v/>
      </c>
      <c r="B7">
        <f>IF($A7="", "", 'Hareket Girişi'!B9)</f>
        <v/>
      </c>
      <c r="C7">
        <f>IF($A7="", "", 'Hareket Girişi'!C9)</f>
        <v/>
      </c>
      <c r="D7" s="27">
        <f>IF($A7="", "", 'Hareket Girişi'!D9)</f>
        <v/>
      </c>
      <c r="E7" s="27">
        <f>IF($A7="", "", 'Hareket Girişi'!E9)</f>
        <v/>
      </c>
      <c r="F7" s="27">
        <f>IF($A7="", "", D7-E7)</f>
        <v/>
      </c>
    </row>
    <row r="8">
      <c r="A8" s="11">
        <f>IF('Hareket Girişi'!F10=1,'Hareket Girişi'!A10,"")</f>
        <v/>
      </c>
      <c r="B8">
        <f>IF($A8="", "", 'Hareket Girişi'!B10)</f>
        <v/>
      </c>
      <c r="C8">
        <f>IF($A8="", "", 'Hareket Girişi'!C10)</f>
        <v/>
      </c>
      <c r="D8" s="27">
        <f>IF($A8="", "", 'Hareket Girişi'!D10)</f>
        <v/>
      </c>
      <c r="E8" s="27">
        <f>IF($A8="", "", 'Hareket Girişi'!E10)</f>
        <v/>
      </c>
      <c r="F8" s="27">
        <f>IF($A8="", "", D8-E8)</f>
        <v/>
      </c>
    </row>
    <row r="9">
      <c r="A9" s="11">
        <f>IF('Hareket Girişi'!F11=1,'Hareket Girişi'!A11,"")</f>
        <v/>
      </c>
      <c r="B9">
        <f>IF($A9="", "", 'Hareket Girişi'!B11)</f>
        <v/>
      </c>
      <c r="C9">
        <f>IF($A9="", "", 'Hareket Girişi'!C11)</f>
        <v/>
      </c>
      <c r="D9" s="27">
        <f>IF($A9="", "", 'Hareket Girişi'!D11)</f>
        <v/>
      </c>
      <c r="E9" s="27">
        <f>IF($A9="", "", 'Hareket Girişi'!E11)</f>
        <v/>
      </c>
      <c r="F9" s="27">
        <f>IF($A9="", "", D9-E9)</f>
        <v/>
      </c>
    </row>
    <row r="10">
      <c r="A10" s="11">
        <f>IF('Hareket Girişi'!F12=1,'Hareket Girişi'!A12,"")</f>
        <v/>
      </c>
      <c r="B10">
        <f>IF($A10="", "", 'Hareket Girişi'!B12)</f>
        <v/>
      </c>
      <c r="C10">
        <f>IF($A10="", "", 'Hareket Girişi'!C12)</f>
        <v/>
      </c>
      <c r="D10" s="27">
        <f>IF($A10="", "", 'Hareket Girişi'!D12)</f>
        <v/>
      </c>
      <c r="E10" s="27">
        <f>IF($A10="", "", 'Hareket Girişi'!E12)</f>
        <v/>
      </c>
      <c r="F10" s="27">
        <f>IF($A10="", "", D10-E10)</f>
        <v/>
      </c>
    </row>
    <row r="11">
      <c r="A11" s="11">
        <f>IF('Hareket Girişi'!F13=1,'Hareket Girişi'!A13,"")</f>
        <v/>
      </c>
      <c r="B11">
        <f>IF($A11="", "", 'Hareket Girişi'!B13)</f>
        <v/>
      </c>
      <c r="C11">
        <f>IF($A11="", "", 'Hareket Girişi'!C13)</f>
        <v/>
      </c>
      <c r="D11" s="27">
        <f>IF($A11="", "", 'Hareket Girişi'!D13)</f>
        <v/>
      </c>
      <c r="E11" s="27">
        <f>IF($A11="", "", 'Hareket Girişi'!E13)</f>
        <v/>
      </c>
      <c r="F11" s="27">
        <f>IF($A11="", "", D11-E11)</f>
        <v/>
      </c>
    </row>
    <row r="12">
      <c r="A12" s="11">
        <f>IF('Hareket Girişi'!F14=1,'Hareket Girişi'!A14,"")</f>
        <v/>
      </c>
      <c r="B12">
        <f>IF($A12="", "", 'Hareket Girişi'!B14)</f>
        <v/>
      </c>
      <c r="C12">
        <f>IF($A12="", "", 'Hareket Girişi'!C14)</f>
        <v/>
      </c>
      <c r="D12" s="27">
        <f>IF($A12="", "", 'Hareket Girişi'!D14)</f>
        <v/>
      </c>
      <c r="E12" s="27">
        <f>IF($A12="", "", 'Hareket Girişi'!E14)</f>
        <v/>
      </c>
      <c r="F12" s="27">
        <f>IF($A12="", "", D12-E12)</f>
        <v/>
      </c>
    </row>
    <row r="13">
      <c r="A13" s="11">
        <f>IF('Hareket Girişi'!F15=1,'Hareket Girişi'!A15,"")</f>
        <v/>
      </c>
      <c r="B13">
        <f>IF($A13="", "", 'Hareket Girişi'!B15)</f>
        <v/>
      </c>
      <c r="C13">
        <f>IF($A13="", "", 'Hareket Girişi'!C15)</f>
        <v/>
      </c>
      <c r="D13" s="27">
        <f>IF($A13="", "", 'Hareket Girişi'!D15)</f>
        <v/>
      </c>
      <c r="E13" s="27">
        <f>IF($A13="", "", 'Hareket Girişi'!E15)</f>
        <v/>
      </c>
      <c r="F13" s="27">
        <f>IF($A13="", "", D13-E13)</f>
        <v/>
      </c>
    </row>
    <row r="14">
      <c r="A14" s="11">
        <f>IF('Hareket Girişi'!F16=1,'Hareket Girişi'!A16,"")</f>
        <v/>
      </c>
      <c r="B14">
        <f>IF($A14="", "", 'Hareket Girişi'!B16)</f>
        <v/>
      </c>
      <c r="C14">
        <f>IF($A14="", "", 'Hareket Girişi'!C16)</f>
        <v/>
      </c>
      <c r="D14" s="27">
        <f>IF($A14="", "", 'Hareket Girişi'!D16)</f>
        <v/>
      </c>
      <c r="E14" s="27">
        <f>IF($A14="", "", 'Hareket Girişi'!E16)</f>
        <v/>
      </c>
      <c r="F14" s="27">
        <f>IF($A14="", "", D14-E14)</f>
        <v/>
      </c>
    </row>
    <row r="15">
      <c r="A15" s="11">
        <f>IF('Hareket Girişi'!F17=1,'Hareket Girişi'!A17,"")</f>
        <v/>
      </c>
      <c r="B15">
        <f>IF($A15="", "", 'Hareket Girişi'!B17)</f>
        <v/>
      </c>
      <c r="C15">
        <f>IF($A15="", "", 'Hareket Girişi'!C17)</f>
        <v/>
      </c>
      <c r="D15" s="27">
        <f>IF($A15="", "", 'Hareket Girişi'!D17)</f>
        <v/>
      </c>
      <c r="E15" s="27">
        <f>IF($A15="", "", 'Hareket Girişi'!E17)</f>
        <v/>
      </c>
      <c r="F15" s="27">
        <f>IF($A15="", "", D15-E15)</f>
        <v/>
      </c>
    </row>
    <row r="16">
      <c r="A16" s="11">
        <f>IF('Hareket Girişi'!F18=1,'Hareket Girişi'!A18,"")</f>
        <v/>
      </c>
      <c r="B16">
        <f>IF($A16="", "", 'Hareket Girişi'!B18)</f>
        <v/>
      </c>
      <c r="C16">
        <f>IF($A16="", "", 'Hareket Girişi'!C18)</f>
        <v/>
      </c>
      <c r="D16" s="27">
        <f>IF($A16="", "", 'Hareket Girişi'!D18)</f>
        <v/>
      </c>
      <c r="E16" s="27">
        <f>IF($A16="", "", 'Hareket Girişi'!E18)</f>
        <v/>
      </c>
      <c r="F16" s="27">
        <f>IF($A16="", "", D16-E16)</f>
        <v/>
      </c>
    </row>
    <row r="17">
      <c r="A17" s="11">
        <f>IF('Hareket Girişi'!F19=1,'Hareket Girişi'!A19,"")</f>
        <v/>
      </c>
      <c r="B17">
        <f>IF($A17="", "", 'Hareket Girişi'!B19)</f>
        <v/>
      </c>
      <c r="C17">
        <f>IF($A17="", "", 'Hareket Girişi'!C19)</f>
        <v/>
      </c>
      <c r="D17" s="27">
        <f>IF($A17="", "", 'Hareket Girişi'!D19)</f>
        <v/>
      </c>
      <c r="E17" s="27">
        <f>IF($A17="", "", 'Hareket Girişi'!E19)</f>
        <v/>
      </c>
      <c r="F17" s="27">
        <f>IF($A17="", "", D17-E17)</f>
        <v/>
      </c>
    </row>
    <row r="18">
      <c r="A18" s="11">
        <f>IF('Hareket Girişi'!F20=1,'Hareket Girişi'!A20,"")</f>
        <v/>
      </c>
      <c r="B18">
        <f>IF($A18="", "", 'Hareket Girişi'!B20)</f>
        <v/>
      </c>
      <c r="C18">
        <f>IF($A18="", "", 'Hareket Girişi'!C20)</f>
        <v/>
      </c>
      <c r="D18" s="27">
        <f>IF($A18="", "", 'Hareket Girişi'!D20)</f>
        <v/>
      </c>
      <c r="E18" s="27">
        <f>IF($A18="", "", 'Hareket Girişi'!E20)</f>
        <v/>
      </c>
      <c r="F18" s="27">
        <f>IF($A18="", "", D18-E18)</f>
        <v/>
      </c>
    </row>
    <row r="19">
      <c r="A19" s="11">
        <f>IF('Hareket Girişi'!F21=1,'Hareket Girişi'!A21,"")</f>
        <v/>
      </c>
      <c r="B19">
        <f>IF($A19="", "", 'Hareket Girişi'!B21)</f>
        <v/>
      </c>
      <c r="C19">
        <f>IF($A19="", "", 'Hareket Girişi'!C21)</f>
        <v/>
      </c>
      <c r="D19" s="27">
        <f>IF($A19="", "", 'Hareket Girişi'!D21)</f>
        <v/>
      </c>
      <c r="E19" s="27">
        <f>IF($A19="", "", 'Hareket Girişi'!E21)</f>
        <v/>
      </c>
      <c r="F19" s="27">
        <f>IF($A19="", "", D19-E19)</f>
        <v/>
      </c>
    </row>
    <row r="20">
      <c r="A20" s="11">
        <f>IF('Hareket Girişi'!F22=1,'Hareket Girişi'!A22,"")</f>
        <v/>
      </c>
      <c r="B20">
        <f>IF($A20="", "", 'Hareket Girişi'!B22)</f>
        <v/>
      </c>
      <c r="C20">
        <f>IF($A20="", "", 'Hareket Girişi'!C22)</f>
        <v/>
      </c>
      <c r="D20" s="27">
        <f>IF($A20="", "", 'Hareket Girişi'!D22)</f>
        <v/>
      </c>
      <c r="E20" s="27">
        <f>IF($A20="", "", 'Hareket Girişi'!E22)</f>
        <v/>
      </c>
      <c r="F20" s="27">
        <f>IF($A20="", "", D20-E20)</f>
        <v/>
      </c>
    </row>
    <row r="21">
      <c r="A21" s="11">
        <f>IF('Hareket Girişi'!F23=1,'Hareket Girişi'!A23,"")</f>
        <v/>
      </c>
      <c r="B21">
        <f>IF($A21="", "", 'Hareket Girişi'!B23)</f>
        <v/>
      </c>
      <c r="C21">
        <f>IF($A21="", "", 'Hareket Girişi'!C23)</f>
        <v/>
      </c>
      <c r="D21" s="27">
        <f>IF($A21="", "", 'Hareket Girişi'!D23)</f>
        <v/>
      </c>
      <c r="E21" s="27">
        <f>IF($A21="", "", 'Hareket Girişi'!E23)</f>
        <v/>
      </c>
      <c r="F21" s="27">
        <f>IF($A21="", "", D21-E21)</f>
        <v/>
      </c>
    </row>
    <row r="22">
      <c r="A22" s="11">
        <f>IF('Hareket Girişi'!F24=1,'Hareket Girişi'!A24,"")</f>
        <v/>
      </c>
      <c r="B22">
        <f>IF($A22="", "", 'Hareket Girişi'!B24)</f>
        <v/>
      </c>
      <c r="C22">
        <f>IF($A22="", "", 'Hareket Girişi'!C24)</f>
        <v/>
      </c>
      <c r="D22" s="27">
        <f>IF($A22="", "", 'Hareket Girişi'!D24)</f>
        <v/>
      </c>
      <c r="E22" s="27">
        <f>IF($A22="", "", 'Hareket Girişi'!E24)</f>
        <v/>
      </c>
      <c r="F22" s="27">
        <f>IF($A22="", "", D22-E22)</f>
        <v/>
      </c>
    </row>
    <row r="23">
      <c r="A23" s="11">
        <f>IF('Hareket Girişi'!F25=1,'Hareket Girişi'!A25,"")</f>
        <v/>
      </c>
      <c r="B23">
        <f>IF($A23="", "", 'Hareket Girişi'!B25)</f>
        <v/>
      </c>
      <c r="C23">
        <f>IF($A23="", "", 'Hareket Girişi'!C25)</f>
        <v/>
      </c>
      <c r="D23" s="27">
        <f>IF($A23="", "", 'Hareket Girişi'!D25)</f>
        <v/>
      </c>
      <c r="E23" s="27">
        <f>IF($A23="", "", 'Hareket Girişi'!E25)</f>
        <v/>
      </c>
      <c r="F23" s="27">
        <f>IF($A23="", "", D23-E23)</f>
        <v/>
      </c>
    </row>
    <row r="24">
      <c r="A24" s="11">
        <f>IF('Hareket Girişi'!F26=1,'Hareket Girişi'!A26,"")</f>
        <v/>
      </c>
      <c r="B24">
        <f>IF($A24="", "", 'Hareket Girişi'!B26)</f>
        <v/>
      </c>
      <c r="C24">
        <f>IF($A24="", "", 'Hareket Girişi'!C26)</f>
        <v/>
      </c>
      <c r="D24" s="27">
        <f>IF($A24="", "", 'Hareket Girişi'!D26)</f>
        <v/>
      </c>
      <c r="E24" s="27">
        <f>IF($A24="", "", 'Hareket Girişi'!E26)</f>
        <v/>
      </c>
      <c r="F24" s="27">
        <f>IF($A24="", "", D24-E24)</f>
        <v/>
      </c>
    </row>
    <row r="25">
      <c r="A25" s="11">
        <f>IF('Hareket Girişi'!F27=1,'Hareket Girişi'!A27,"")</f>
        <v/>
      </c>
      <c r="B25">
        <f>IF($A25="", "", 'Hareket Girişi'!B27)</f>
        <v/>
      </c>
      <c r="C25">
        <f>IF($A25="", "", 'Hareket Girişi'!C27)</f>
        <v/>
      </c>
      <c r="D25" s="27">
        <f>IF($A25="", "", 'Hareket Girişi'!D27)</f>
        <v/>
      </c>
      <c r="E25" s="27">
        <f>IF($A25="", "", 'Hareket Girişi'!E27)</f>
        <v/>
      </c>
      <c r="F25" s="27">
        <f>IF($A25="", "", D25-E25)</f>
        <v/>
      </c>
    </row>
    <row r="26">
      <c r="A26" s="11">
        <f>IF('Hareket Girişi'!F28=1,'Hareket Girişi'!A28,"")</f>
        <v/>
      </c>
      <c r="B26">
        <f>IF($A26="", "", 'Hareket Girişi'!B28)</f>
        <v/>
      </c>
      <c r="C26">
        <f>IF($A26="", "", 'Hareket Girişi'!C28)</f>
        <v/>
      </c>
      <c r="D26" s="27">
        <f>IF($A26="", "", 'Hareket Girişi'!D28)</f>
        <v/>
      </c>
      <c r="E26" s="27">
        <f>IF($A26="", "", 'Hareket Girişi'!E28)</f>
        <v/>
      </c>
      <c r="F26" s="27">
        <f>IF($A26="", "", D26-E26)</f>
        <v/>
      </c>
    </row>
    <row r="27">
      <c r="A27" s="11">
        <f>IF('Hareket Girişi'!F29=1,'Hareket Girişi'!A29,"")</f>
        <v/>
      </c>
      <c r="B27">
        <f>IF($A27="", "", 'Hareket Girişi'!B29)</f>
        <v/>
      </c>
      <c r="C27">
        <f>IF($A27="", "", 'Hareket Girişi'!C29)</f>
        <v/>
      </c>
      <c r="D27" s="27">
        <f>IF($A27="", "", 'Hareket Girişi'!D29)</f>
        <v/>
      </c>
      <c r="E27" s="27">
        <f>IF($A27="", "", 'Hareket Girişi'!E29)</f>
        <v/>
      </c>
      <c r="F27" s="27">
        <f>IF($A27="", "", D27-E27)</f>
        <v/>
      </c>
    </row>
    <row r="28">
      <c r="A28" s="11">
        <f>IF('Hareket Girişi'!F30=1,'Hareket Girişi'!A30,"")</f>
        <v/>
      </c>
      <c r="B28">
        <f>IF($A28="", "", 'Hareket Girişi'!B30)</f>
        <v/>
      </c>
      <c r="C28">
        <f>IF($A28="", "", 'Hareket Girişi'!C30)</f>
        <v/>
      </c>
      <c r="D28" s="27">
        <f>IF($A28="", "", 'Hareket Girişi'!D30)</f>
        <v/>
      </c>
      <c r="E28" s="27">
        <f>IF($A28="", "", 'Hareket Girişi'!E30)</f>
        <v/>
      </c>
      <c r="F28" s="27">
        <f>IF($A28="", "", D28-E28)</f>
        <v/>
      </c>
    </row>
    <row r="29">
      <c r="A29" s="11">
        <f>IF('Hareket Girişi'!F31=1,'Hareket Girişi'!A31,"")</f>
        <v/>
      </c>
      <c r="B29">
        <f>IF($A29="", "", 'Hareket Girişi'!B31)</f>
        <v/>
      </c>
      <c r="C29">
        <f>IF($A29="", "", 'Hareket Girişi'!C31)</f>
        <v/>
      </c>
      <c r="D29" s="27">
        <f>IF($A29="", "", 'Hareket Girişi'!D31)</f>
        <v/>
      </c>
      <c r="E29" s="27">
        <f>IF($A29="", "", 'Hareket Girişi'!E31)</f>
        <v/>
      </c>
      <c r="F29" s="27">
        <f>IF($A29="", "", D29-E29)</f>
        <v/>
      </c>
    </row>
    <row r="30">
      <c r="A30" s="11">
        <f>IF('Hareket Girişi'!F32=1,'Hareket Girişi'!A32,"")</f>
        <v/>
      </c>
      <c r="B30">
        <f>IF($A30="", "", 'Hareket Girişi'!B32)</f>
        <v/>
      </c>
      <c r="C30">
        <f>IF($A30="", "", 'Hareket Girişi'!C32)</f>
        <v/>
      </c>
      <c r="D30" s="27">
        <f>IF($A30="", "", 'Hareket Girişi'!D32)</f>
        <v/>
      </c>
      <c r="E30" s="27">
        <f>IF($A30="", "", 'Hareket Girişi'!E32)</f>
        <v/>
      </c>
      <c r="F30" s="27">
        <f>IF($A30="", "", D30-E30)</f>
        <v/>
      </c>
    </row>
    <row r="31">
      <c r="A31" s="11">
        <f>IF('Hareket Girişi'!F33=1,'Hareket Girişi'!A33,"")</f>
        <v/>
      </c>
      <c r="B31">
        <f>IF($A31="", "", 'Hareket Girişi'!B33)</f>
        <v/>
      </c>
      <c r="C31">
        <f>IF($A31="", "", 'Hareket Girişi'!C33)</f>
        <v/>
      </c>
      <c r="D31" s="27">
        <f>IF($A31="", "", 'Hareket Girişi'!D33)</f>
        <v/>
      </c>
      <c r="E31" s="27">
        <f>IF($A31="", "", 'Hareket Girişi'!E33)</f>
        <v/>
      </c>
      <c r="F31" s="27">
        <f>IF($A31="", "", D31-E31)</f>
        <v/>
      </c>
    </row>
    <row r="32">
      <c r="A32" s="11">
        <f>IF('Hareket Girişi'!F34=1,'Hareket Girişi'!A34,"")</f>
        <v/>
      </c>
      <c r="B32">
        <f>IF($A32="", "", 'Hareket Girişi'!B34)</f>
        <v/>
      </c>
      <c r="C32">
        <f>IF($A32="", "", 'Hareket Girişi'!C34)</f>
        <v/>
      </c>
      <c r="D32" s="27">
        <f>IF($A32="", "", 'Hareket Girişi'!D34)</f>
        <v/>
      </c>
      <c r="E32" s="27">
        <f>IF($A32="", "", 'Hareket Girişi'!E34)</f>
        <v/>
      </c>
      <c r="F32" s="27">
        <f>IF($A32="", "", D32-E32)</f>
        <v/>
      </c>
    </row>
    <row r="33">
      <c r="A33" s="11">
        <f>IF('Hareket Girişi'!F35=1,'Hareket Girişi'!A35,"")</f>
        <v/>
      </c>
      <c r="B33">
        <f>IF($A33="", "", 'Hareket Girişi'!B35)</f>
        <v/>
      </c>
      <c r="C33">
        <f>IF($A33="", "", 'Hareket Girişi'!C35)</f>
        <v/>
      </c>
      <c r="D33" s="27">
        <f>IF($A33="", "", 'Hareket Girişi'!D35)</f>
        <v/>
      </c>
      <c r="E33" s="27">
        <f>IF($A33="", "", 'Hareket Girişi'!E35)</f>
        <v/>
      </c>
      <c r="F33" s="27">
        <f>IF($A33="", "", D33-E33)</f>
        <v/>
      </c>
    </row>
    <row r="34">
      <c r="A34" s="11">
        <f>IF('Hareket Girişi'!F36=1,'Hareket Girişi'!A36,"")</f>
        <v/>
      </c>
      <c r="B34">
        <f>IF($A34="", "", 'Hareket Girişi'!B36)</f>
        <v/>
      </c>
      <c r="C34">
        <f>IF($A34="", "", 'Hareket Girişi'!C36)</f>
        <v/>
      </c>
      <c r="D34" s="27">
        <f>IF($A34="", "", 'Hareket Girişi'!D36)</f>
        <v/>
      </c>
      <c r="E34" s="27">
        <f>IF($A34="", "", 'Hareket Girişi'!E36)</f>
        <v/>
      </c>
      <c r="F34" s="27">
        <f>IF($A34="", "", D34-E34)</f>
        <v/>
      </c>
    </row>
    <row r="35">
      <c r="A35" s="11">
        <f>IF('Hareket Girişi'!F37=1,'Hareket Girişi'!A37,"")</f>
        <v/>
      </c>
      <c r="B35">
        <f>IF($A35="", "", 'Hareket Girişi'!B37)</f>
        <v/>
      </c>
      <c r="C35">
        <f>IF($A35="", "", 'Hareket Girişi'!C37)</f>
        <v/>
      </c>
      <c r="D35" s="27">
        <f>IF($A35="", "", 'Hareket Girişi'!D37)</f>
        <v/>
      </c>
      <c r="E35" s="27">
        <f>IF($A35="", "", 'Hareket Girişi'!E37)</f>
        <v/>
      </c>
      <c r="F35" s="27">
        <f>IF($A35="", "", D35-E35)</f>
        <v/>
      </c>
    </row>
    <row r="36">
      <c r="A36" s="11">
        <f>IF('Hareket Girişi'!F38=1,'Hareket Girişi'!A38,"")</f>
        <v/>
      </c>
      <c r="B36">
        <f>IF($A36="", "", 'Hareket Girişi'!B38)</f>
        <v/>
      </c>
      <c r="C36">
        <f>IF($A36="", "", 'Hareket Girişi'!C38)</f>
        <v/>
      </c>
      <c r="D36" s="27">
        <f>IF($A36="", "", 'Hareket Girişi'!D38)</f>
        <v/>
      </c>
      <c r="E36" s="27">
        <f>IF($A36="", "", 'Hareket Girişi'!E38)</f>
        <v/>
      </c>
      <c r="F36" s="27">
        <f>IF($A36="", "", D36-E36)</f>
        <v/>
      </c>
    </row>
    <row r="37">
      <c r="A37" s="11">
        <f>IF('Hareket Girişi'!F39=1,'Hareket Girişi'!A39,"")</f>
        <v/>
      </c>
      <c r="B37">
        <f>IF($A37="", "", 'Hareket Girişi'!B39)</f>
        <v/>
      </c>
      <c r="C37">
        <f>IF($A37="", "", 'Hareket Girişi'!C39)</f>
        <v/>
      </c>
      <c r="D37" s="27">
        <f>IF($A37="", "", 'Hareket Girişi'!D39)</f>
        <v/>
      </c>
      <c r="E37" s="27">
        <f>IF($A37="", "", 'Hareket Girişi'!E39)</f>
        <v/>
      </c>
      <c r="F37" s="27">
        <f>IF($A37="", "", D37-E37)</f>
        <v/>
      </c>
    </row>
    <row r="38">
      <c r="A38" s="11">
        <f>IF('Hareket Girişi'!F40=1,'Hareket Girişi'!A40,"")</f>
        <v/>
      </c>
      <c r="B38">
        <f>IF($A38="", "", 'Hareket Girişi'!B40)</f>
        <v/>
      </c>
      <c r="C38">
        <f>IF($A38="", "", 'Hareket Girişi'!C40)</f>
        <v/>
      </c>
      <c r="D38" s="27">
        <f>IF($A38="", "", 'Hareket Girişi'!D40)</f>
        <v/>
      </c>
      <c r="E38" s="27">
        <f>IF($A38="", "", 'Hareket Girişi'!E40)</f>
        <v/>
      </c>
      <c r="F38" s="27">
        <f>IF($A38="", "", D38-E38)</f>
        <v/>
      </c>
    </row>
    <row r="39">
      <c r="A39" s="11">
        <f>IF('Hareket Girişi'!F41=1,'Hareket Girişi'!A41,"")</f>
        <v/>
      </c>
      <c r="B39">
        <f>IF($A39="", "", 'Hareket Girişi'!B41)</f>
        <v/>
      </c>
      <c r="C39">
        <f>IF($A39="", "", 'Hareket Girişi'!C41)</f>
        <v/>
      </c>
      <c r="D39" s="27">
        <f>IF($A39="", "", 'Hareket Girişi'!D41)</f>
        <v/>
      </c>
      <c r="E39" s="27">
        <f>IF($A39="", "", 'Hareket Girişi'!E41)</f>
        <v/>
      </c>
      <c r="F39" s="27">
        <f>IF($A39="", "", D39-E39)</f>
        <v/>
      </c>
    </row>
    <row r="40">
      <c r="A40" s="11">
        <f>IF('Hareket Girişi'!F42=1,'Hareket Girişi'!A42,"")</f>
        <v/>
      </c>
      <c r="B40">
        <f>IF($A40="", "", 'Hareket Girişi'!B42)</f>
        <v/>
      </c>
      <c r="C40">
        <f>IF($A40="", "", 'Hareket Girişi'!C42)</f>
        <v/>
      </c>
      <c r="D40" s="27">
        <f>IF($A40="", "", 'Hareket Girişi'!D42)</f>
        <v/>
      </c>
      <c r="E40" s="27">
        <f>IF($A40="", "", 'Hareket Girişi'!E42)</f>
        <v/>
      </c>
      <c r="F40" s="27">
        <f>IF($A40="", "", D40-E40)</f>
        <v/>
      </c>
    </row>
    <row r="41">
      <c r="A41" s="11">
        <f>IF('Hareket Girişi'!F43=1,'Hareket Girişi'!A43,"")</f>
        <v/>
      </c>
      <c r="B41">
        <f>IF($A41="", "", 'Hareket Girişi'!B43)</f>
        <v/>
      </c>
      <c r="C41">
        <f>IF($A41="", "", 'Hareket Girişi'!C43)</f>
        <v/>
      </c>
      <c r="D41" s="27">
        <f>IF($A41="", "", 'Hareket Girişi'!D43)</f>
        <v/>
      </c>
      <c r="E41" s="27">
        <f>IF($A41="", "", 'Hareket Girişi'!E43)</f>
        <v/>
      </c>
      <c r="F41" s="27">
        <f>IF($A41="", "", D41-E41)</f>
        <v/>
      </c>
    </row>
    <row r="42">
      <c r="A42" s="11">
        <f>IF('Hareket Girişi'!F44=1,'Hareket Girişi'!A44,"")</f>
        <v/>
      </c>
      <c r="B42">
        <f>IF($A42="", "", 'Hareket Girişi'!B44)</f>
        <v/>
      </c>
      <c r="C42">
        <f>IF($A42="", "", 'Hareket Girişi'!C44)</f>
        <v/>
      </c>
      <c r="D42" s="27">
        <f>IF($A42="", "", 'Hareket Girişi'!D44)</f>
        <v/>
      </c>
      <c r="E42" s="27">
        <f>IF($A42="", "", 'Hareket Girişi'!E44)</f>
        <v/>
      </c>
      <c r="F42" s="27">
        <f>IF($A42="", "", D42-E42)</f>
        <v/>
      </c>
    </row>
    <row r="43">
      <c r="A43" s="11">
        <f>IF('Hareket Girişi'!F45=1,'Hareket Girişi'!A45,"")</f>
        <v/>
      </c>
      <c r="B43">
        <f>IF($A43="", "", 'Hareket Girişi'!B45)</f>
        <v/>
      </c>
      <c r="C43">
        <f>IF($A43="", "", 'Hareket Girişi'!C45)</f>
        <v/>
      </c>
      <c r="D43" s="27">
        <f>IF($A43="", "", 'Hareket Girişi'!D45)</f>
        <v/>
      </c>
      <c r="E43" s="27">
        <f>IF($A43="", "", 'Hareket Girişi'!E45)</f>
        <v/>
      </c>
      <c r="F43" s="27">
        <f>IF($A43="", "", D43-E43)</f>
        <v/>
      </c>
    </row>
    <row r="44">
      <c r="A44" s="11">
        <f>IF('Hareket Girişi'!F46=1,'Hareket Girişi'!A46,"")</f>
        <v/>
      </c>
      <c r="B44">
        <f>IF($A44="", "", 'Hareket Girişi'!B46)</f>
        <v/>
      </c>
      <c r="C44">
        <f>IF($A44="", "", 'Hareket Girişi'!C46)</f>
        <v/>
      </c>
      <c r="D44" s="27">
        <f>IF($A44="", "", 'Hareket Girişi'!D46)</f>
        <v/>
      </c>
      <c r="E44" s="27">
        <f>IF($A44="", "", 'Hareket Girişi'!E46)</f>
        <v/>
      </c>
      <c r="F44" s="27">
        <f>IF($A44="", "", D44-E44)</f>
        <v/>
      </c>
    </row>
    <row r="45">
      <c r="A45" s="11">
        <f>IF('Hareket Girişi'!F47=1,'Hareket Girişi'!A47,"")</f>
        <v/>
      </c>
      <c r="B45">
        <f>IF($A45="", "", 'Hareket Girişi'!B47)</f>
        <v/>
      </c>
      <c r="C45">
        <f>IF($A45="", "", 'Hareket Girişi'!C47)</f>
        <v/>
      </c>
      <c r="D45" s="27">
        <f>IF($A45="", "", 'Hareket Girişi'!D47)</f>
        <v/>
      </c>
      <c r="E45" s="27">
        <f>IF($A45="", "", 'Hareket Girişi'!E47)</f>
        <v/>
      </c>
      <c r="F45" s="27">
        <f>IF($A45="", "", D45-E45)</f>
        <v/>
      </c>
    </row>
    <row r="46">
      <c r="A46" s="11">
        <f>IF('Hareket Girişi'!F48=1,'Hareket Girişi'!A48,"")</f>
        <v/>
      </c>
      <c r="B46">
        <f>IF($A46="", "", 'Hareket Girişi'!B48)</f>
        <v/>
      </c>
      <c r="C46">
        <f>IF($A46="", "", 'Hareket Girişi'!C48)</f>
        <v/>
      </c>
      <c r="D46" s="27">
        <f>IF($A46="", "", 'Hareket Girişi'!D48)</f>
        <v/>
      </c>
      <c r="E46" s="27">
        <f>IF($A46="", "", 'Hareket Girişi'!E48)</f>
        <v/>
      </c>
      <c r="F46" s="27">
        <f>IF($A46="", "", D46-E46)</f>
        <v/>
      </c>
    </row>
    <row r="47">
      <c r="A47" s="11">
        <f>IF('Hareket Girişi'!F49=1,'Hareket Girişi'!A49,"")</f>
        <v/>
      </c>
      <c r="B47">
        <f>IF($A47="", "", 'Hareket Girişi'!B49)</f>
        <v/>
      </c>
      <c r="C47">
        <f>IF($A47="", "", 'Hareket Girişi'!C49)</f>
        <v/>
      </c>
      <c r="D47" s="27">
        <f>IF($A47="", "", 'Hareket Girişi'!D49)</f>
        <v/>
      </c>
      <c r="E47" s="27">
        <f>IF($A47="", "", 'Hareket Girişi'!E49)</f>
        <v/>
      </c>
      <c r="F47" s="27">
        <f>IF($A47="", "", D47-E47)</f>
        <v/>
      </c>
    </row>
    <row r="48">
      <c r="A48" s="11">
        <f>IF('Hareket Girişi'!F50=1,'Hareket Girişi'!A50,"")</f>
        <v/>
      </c>
      <c r="B48">
        <f>IF($A48="", "", 'Hareket Girişi'!B50)</f>
        <v/>
      </c>
      <c r="C48">
        <f>IF($A48="", "", 'Hareket Girişi'!C50)</f>
        <v/>
      </c>
      <c r="D48" s="27">
        <f>IF($A48="", "", 'Hareket Girişi'!D50)</f>
        <v/>
      </c>
      <c r="E48" s="27">
        <f>IF($A48="", "", 'Hareket Girişi'!E50)</f>
        <v/>
      </c>
      <c r="F48" s="27">
        <f>IF($A48="", "", D48-E48)</f>
        <v/>
      </c>
    </row>
    <row r="49">
      <c r="A49" s="11">
        <f>IF('Hareket Girişi'!F51=1,'Hareket Girişi'!A51,"")</f>
        <v/>
      </c>
      <c r="B49">
        <f>IF($A49="", "", 'Hareket Girişi'!B51)</f>
        <v/>
      </c>
      <c r="C49">
        <f>IF($A49="", "", 'Hareket Girişi'!C51)</f>
        <v/>
      </c>
      <c r="D49" s="27">
        <f>IF($A49="", "", 'Hareket Girişi'!D51)</f>
        <v/>
      </c>
      <c r="E49" s="27">
        <f>IF($A49="", "", 'Hareket Girişi'!E51)</f>
        <v/>
      </c>
      <c r="F49" s="27">
        <f>IF($A49="", "", D49-E49)</f>
        <v/>
      </c>
    </row>
    <row r="50">
      <c r="A50" s="11">
        <f>IF('Hareket Girişi'!F52=1,'Hareket Girişi'!A52,"")</f>
        <v/>
      </c>
      <c r="B50">
        <f>IF($A50="", "", 'Hareket Girişi'!B52)</f>
        <v/>
      </c>
      <c r="C50">
        <f>IF($A50="", "", 'Hareket Girişi'!C52)</f>
        <v/>
      </c>
      <c r="D50" s="27">
        <f>IF($A50="", "", 'Hareket Girişi'!D52)</f>
        <v/>
      </c>
      <c r="E50" s="27">
        <f>IF($A50="", "", 'Hareket Girişi'!E52)</f>
        <v/>
      </c>
      <c r="F50" s="27">
        <f>IF($A50="", "", D50-E50)</f>
        <v/>
      </c>
    </row>
    <row r="51">
      <c r="A51" s="11">
        <f>IF('Hareket Girişi'!F53=1,'Hareket Girişi'!A53,"")</f>
        <v/>
      </c>
      <c r="B51">
        <f>IF($A51="", "", 'Hareket Girişi'!B53)</f>
        <v/>
      </c>
      <c r="C51">
        <f>IF($A51="", "", 'Hareket Girişi'!C53)</f>
        <v/>
      </c>
      <c r="D51" s="27">
        <f>IF($A51="", "", 'Hareket Girişi'!D53)</f>
        <v/>
      </c>
      <c r="E51" s="27">
        <f>IF($A51="", "", 'Hareket Girişi'!E53)</f>
        <v/>
      </c>
      <c r="F51" s="27">
        <f>IF($A51="", "", D51-E51)</f>
        <v/>
      </c>
    </row>
    <row r="52">
      <c r="A52" s="11">
        <f>IF('Hareket Girişi'!F54=1,'Hareket Girişi'!A54,"")</f>
        <v/>
      </c>
      <c r="B52">
        <f>IF($A52="", "", 'Hareket Girişi'!B54)</f>
        <v/>
      </c>
      <c r="C52">
        <f>IF($A52="", "", 'Hareket Girişi'!C54)</f>
        <v/>
      </c>
      <c r="D52" s="27">
        <f>IF($A52="", "", 'Hareket Girişi'!D54)</f>
        <v/>
      </c>
      <c r="E52" s="27">
        <f>IF($A52="", "", 'Hareket Girişi'!E54)</f>
        <v/>
      </c>
      <c r="F52" s="27">
        <f>IF($A52="", "", D52-E52)</f>
        <v/>
      </c>
    </row>
    <row r="53">
      <c r="A53" s="11">
        <f>IF('Hareket Girişi'!F55=1,'Hareket Girişi'!A55,"")</f>
        <v/>
      </c>
      <c r="B53">
        <f>IF($A53="", "", 'Hareket Girişi'!B55)</f>
        <v/>
      </c>
      <c r="C53">
        <f>IF($A53="", "", 'Hareket Girişi'!C55)</f>
        <v/>
      </c>
      <c r="D53" s="27">
        <f>IF($A53="", "", 'Hareket Girişi'!D55)</f>
        <v/>
      </c>
      <c r="E53" s="27">
        <f>IF($A53="", "", 'Hareket Girişi'!E55)</f>
        <v/>
      </c>
      <c r="F53" s="27">
        <f>IF($A53="", "", D53-E53)</f>
        <v/>
      </c>
    </row>
    <row r="54">
      <c r="A54" s="11">
        <f>IF('Hareket Girişi'!F56=1,'Hareket Girişi'!A56,"")</f>
        <v/>
      </c>
      <c r="B54">
        <f>IF($A54="", "", 'Hareket Girişi'!B56)</f>
        <v/>
      </c>
      <c r="C54">
        <f>IF($A54="", "", 'Hareket Girişi'!C56)</f>
        <v/>
      </c>
      <c r="D54" s="27">
        <f>IF($A54="", "", 'Hareket Girişi'!D56)</f>
        <v/>
      </c>
      <c r="E54" s="27">
        <f>IF($A54="", "", 'Hareket Girişi'!E56)</f>
        <v/>
      </c>
      <c r="F54" s="27">
        <f>IF($A54="", "", D54-E54)</f>
        <v/>
      </c>
    </row>
    <row r="55">
      <c r="A55" s="11">
        <f>IF('Hareket Girişi'!F57=1,'Hareket Girişi'!A57,"")</f>
        <v/>
      </c>
      <c r="B55">
        <f>IF($A55="", "", 'Hareket Girişi'!B57)</f>
        <v/>
      </c>
      <c r="C55">
        <f>IF($A55="", "", 'Hareket Girişi'!C57)</f>
        <v/>
      </c>
      <c r="D55" s="27">
        <f>IF($A55="", "", 'Hareket Girişi'!D57)</f>
        <v/>
      </c>
      <c r="E55" s="27">
        <f>IF($A55="", "", 'Hareket Girişi'!E57)</f>
        <v/>
      </c>
      <c r="F55" s="27">
        <f>IF($A55="", "", D55-E55)</f>
        <v/>
      </c>
    </row>
    <row r="56">
      <c r="A56" s="11">
        <f>IF('Hareket Girişi'!F58=1,'Hareket Girişi'!A58,"")</f>
        <v/>
      </c>
      <c r="B56">
        <f>IF($A56="", "", 'Hareket Girişi'!B58)</f>
        <v/>
      </c>
      <c r="C56">
        <f>IF($A56="", "", 'Hareket Girişi'!C58)</f>
        <v/>
      </c>
      <c r="D56" s="27">
        <f>IF($A56="", "", 'Hareket Girişi'!D58)</f>
        <v/>
      </c>
      <c r="E56" s="27">
        <f>IF($A56="", "", 'Hareket Girişi'!E58)</f>
        <v/>
      </c>
      <c r="F56" s="27">
        <f>IF($A56="", "", D56-E56)</f>
        <v/>
      </c>
    </row>
    <row r="57">
      <c r="A57" s="11">
        <f>IF('Hareket Girişi'!F59=1,'Hareket Girişi'!A59,"")</f>
        <v/>
      </c>
      <c r="B57">
        <f>IF($A57="", "", 'Hareket Girişi'!B59)</f>
        <v/>
      </c>
      <c r="C57">
        <f>IF($A57="", "", 'Hareket Girişi'!C59)</f>
        <v/>
      </c>
      <c r="D57" s="27">
        <f>IF($A57="", "", 'Hareket Girişi'!D59)</f>
        <v/>
      </c>
      <c r="E57" s="27">
        <f>IF($A57="", "", 'Hareket Girişi'!E59)</f>
        <v/>
      </c>
      <c r="F57" s="27">
        <f>IF($A57="", "", D57-E57)</f>
        <v/>
      </c>
    </row>
    <row r="58">
      <c r="A58" s="11">
        <f>IF('Hareket Girişi'!F60=1,'Hareket Girişi'!A60,"")</f>
        <v/>
      </c>
      <c r="B58">
        <f>IF($A58="", "", 'Hareket Girişi'!B60)</f>
        <v/>
      </c>
      <c r="C58">
        <f>IF($A58="", "", 'Hareket Girişi'!C60)</f>
        <v/>
      </c>
      <c r="D58" s="27">
        <f>IF($A58="", "", 'Hareket Girişi'!D60)</f>
        <v/>
      </c>
      <c r="E58" s="27">
        <f>IF($A58="", "", 'Hareket Girişi'!E60)</f>
        <v/>
      </c>
      <c r="F58" s="27">
        <f>IF($A58="", "", D58-E58)</f>
        <v/>
      </c>
    </row>
    <row r="59">
      <c r="A59" s="11">
        <f>IF('Hareket Girişi'!F61=1,'Hareket Girişi'!A61,"")</f>
        <v/>
      </c>
      <c r="B59">
        <f>IF($A59="", "", 'Hareket Girişi'!B61)</f>
        <v/>
      </c>
      <c r="C59">
        <f>IF($A59="", "", 'Hareket Girişi'!C61)</f>
        <v/>
      </c>
      <c r="D59" s="27">
        <f>IF($A59="", "", 'Hareket Girişi'!D61)</f>
        <v/>
      </c>
      <c r="E59" s="27">
        <f>IF($A59="", "", 'Hareket Girişi'!E61)</f>
        <v/>
      </c>
      <c r="F59" s="27">
        <f>IF($A59="", "", D59-E59)</f>
        <v/>
      </c>
    </row>
    <row r="60">
      <c r="A60" s="11">
        <f>IF('Hareket Girişi'!F62=1,'Hareket Girişi'!A62,"")</f>
        <v/>
      </c>
      <c r="B60">
        <f>IF($A60="", "", 'Hareket Girişi'!B62)</f>
        <v/>
      </c>
      <c r="C60">
        <f>IF($A60="", "", 'Hareket Girişi'!C62)</f>
        <v/>
      </c>
      <c r="D60" s="27">
        <f>IF($A60="", "", 'Hareket Girişi'!D62)</f>
        <v/>
      </c>
      <c r="E60" s="27">
        <f>IF($A60="", "", 'Hareket Girişi'!E62)</f>
        <v/>
      </c>
      <c r="F60" s="27">
        <f>IF($A60="", "", D60-E60)</f>
        <v/>
      </c>
    </row>
    <row r="61">
      <c r="A61" s="11">
        <f>IF('Hareket Girişi'!F63=1,'Hareket Girişi'!A63,"")</f>
        <v/>
      </c>
      <c r="B61">
        <f>IF($A61="", "", 'Hareket Girişi'!B63)</f>
        <v/>
      </c>
      <c r="C61">
        <f>IF($A61="", "", 'Hareket Girişi'!C63)</f>
        <v/>
      </c>
      <c r="D61" s="27">
        <f>IF($A61="", "", 'Hareket Girişi'!D63)</f>
        <v/>
      </c>
      <c r="E61" s="27">
        <f>IF($A61="", "", 'Hareket Girişi'!E63)</f>
        <v/>
      </c>
      <c r="F61" s="27">
        <f>IF($A61="", "", D61-E61)</f>
        <v/>
      </c>
    </row>
    <row r="62">
      <c r="A62" s="11">
        <f>IF('Hareket Girişi'!F64=1,'Hareket Girişi'!A64,"")</f>
        <v/>
      </c>
      <c r="B62">
        <f>IF($A62="", "", 'Hareket Girişi'!B64)</f>
        <v/>
      </c>
      <c r="C62">
        <f>IF($A62="", "", 'Hareket Girişi'!C64)</f>
        <v/>
      </c>
      <c r="D62" s="27">
        <f>IF($A62="", "", 'Hareket Girişi'!D64)</f>
        <v/>
      </c>
      <c r="E62" s="27">
        <f>IF($A62="", "", 'Hareket Girişi'!E64)</f>
        <v/>
      </c>
      <c r="F62" s="27">
        <f>IF($A62="", "", D62-E62)</f>
        <v/>
      </c>
    </row>
    <row r="63">
      <c r="A63" s="11">
        <f>IF('Hareket Girişi'!F65=1,'Hareket Girişi'!A65,"")</f>
        <v/>
      </c>
      <c r="B63">
        <f>IF($A63="", "", 'Hareket Girişi'!B65)</f>
        <v/>
      </c>
      <c r="C63">
        <f>IF($A63="", "", 'Hareket Girişi'!C65)</f>
        <v/>
      </c>
      <c r="D63" s="27">
        <f>IF($A63="", "", 'Hareket Girişi'!D65)</f>
        <v/>
      </c>
      <c r="E63" s="27">
        <f>IF($A63="", "", 'Hareket Girişi'!E65)</f>
        <v/>
      </c>
      <c r="F63" s="27">
        <f>IF($A63="", "", D63-E63)</f>
        <v/>
      </c>
    </row>
    <row r="64">
      <c r="A64" s="11">
        <f>IF('Hareket Girişi'!F66=1,'Hareket Girişi'!A66,"")</f>
        <v/>
      </c>
      <c r="B64">
        <f>IF($A64="", "", 'Hareket Girişi'!B66)</f>
        <v/>
      </c>
      <c r="C64">
        <f>IF($A64="", "", 'Hareket Girişi'!C66)</f>
        <v/>
      </c>
      <c r="D64" s="27">
        <f>IF($A64="", "", 'Hareket Girişi'!D66)</f>
        <v/>
      </c>
      <c r="E64" s="27">
        <f>IF($A64="", "", 'Hareket Girişi'!E66)</f>
        <v/>
      </c>
      <c r="F64" s="27">
        <f>IF($A64="", "", D64-E64)</f>
        <v/>
      </c>
    </row>
    <row r="65">
      <c r="A65" s="11">
        <f>IF('Hareket Girişi'!F67=1,'Hareket Girişi'!A67,"")</f>
        <v/>
      </c>
      <c r="B65">
        <f>IF($A65="", "", 'Hareket Girişi'!B67)</f>
        <v/>
      </c>
      <c r="C65">
        <f>IF($A65="", "", 'Hareket Girişi'!C67)</f>
        <v/>
      </c>
      <c r="D65" s="27">
        <f>IF($A65="", "", 'Hareket Girişi'!D67)</f>
        <v/>
      </c>
      <c r="E65" s="27">
        <f>IF($A65="", "", 'Hareket Girişi'!E67)</f>
        <v/>
      </c>
      <c r="F65" s="27">
        <f>IF($A65="", "", D65-E65)</f>
        <v/>
      </c>
    </row>
    <row r="66">
      <c r="A66" s="11">
        <f>IF('Hareket Girişi'!F68=1,'Hareket Girişi'!A68,"")</f>
        <v/>
      </c>
      <c r="B66">
        <f>IF($A66="", "", 'Hareket Girişi'!B68)</f>
        <v/>
      </c>
      <c r="C66">
        <f>IF($A66="", "", 'Hareket Girişi'!C68)</f>
        <v/>
      </c>
      <c r="D66" s="27">
        <f>IF($A66="", "", 'Hareket Girişi'!D68)</f>
        <v/>
      </c>
      <c r="E66" s="27">
        <f>IF($A66="", "", 'Hareket Girişi'!E68)</f>
        <v/>
      </c>
      <c r="F66" s="27">
        <f>IF($A66="", "", D66-E66)</f>
        <v/>
      </c>
    </row>
    <row r="67">
      <c r="A67" s="11">
        <f>IF('Hareket Girişi'!F69=1,'Hareket Girişi'!A69,"")</f>
        <v/>
      </c>
      <c r="B67">
        <f>IF($A67="", "", 'Hareket Girişi'!B69)</f>
        <v/>
      </c>
      <c r="C67">
        <f>IF($A67="", "", 'Hareket Girişi'!C69)</f>
        <v/>
      </c>
      <c r="D67" s="27">
        <f>IF($A67="", "", 'Hareket Girişi'!D69)</f>
        <v/>
      </c>
      <c r="E67" s="27">
        <f>IF($A67="", "", 'Hareket Girişi'!E69)</f>
        <v/>
      </c>
      <c r="F67" s="27">
        <f>IF($A67="", "", D67-E67)</f>
        <v/>
      </c>
    </row>
    <row r="68">
      <c r="A68" s="11">
        <f>IF('Hareket Girişi'!F70=1,'Hareket Girişi'!A70,"")</f>
        <v/>
      </c>
      <c r="B68">
        <f>IF($A68="", "", 'Hareket Girişi'!B70)</f>
        <v/>
      </c>
      <c r="C68">
        <f>IF($A68="", "", 'Hareket Girişi'!C70)</f>
        <v/>
      </c>
      <c r="D68" s="27">
        <f>IF($A68="", "", 'Hareket Girişi'!D70)</f>
        <v/>
      </c>
      <c r="E68" s="27">
        <f>IF($A68="", "", 'Hareket Girişi'!E70)</f>
        <v/>
      </c>
      <c r="F68" s="27">
        <f>IF($A68="", "", D68-E68)</f>
        <v/>
      </c>
    </row>
    <row r="69">
      <c r="A69" s="11">
        <f>IF('Hareket Girişi'!F71=1,'Hareket Girişi'!A71,"")</f>
        <v/>
      </c>
      <c r="B69">
        <f>IF($A69="", "", 'Hareket Girişi'!B71)</f>
        <v/>
      </c>
      <c r="C69">
        <f>IF($A69="", "", 'Hareket Girişi'!C71)</f>
        <v/>
      </c>
      <c r="D69" s="27">
        <f>IF($A69="", "", 'Hareket Girişi'!D71)</f>
        <v/>
      </c>
      <c r="E69" s="27">
        <f>IF($A69="", "", 'Hareket Girişi'!E71)</f>
        <v/>
      </c>
      <c r="F69" s="27">
        <f>IF($A69="", "", D69-E69)</f>
        <v/>
      </c>
    </row>
    <row r="70">
      <c r="A70" s="11">
        <f>IF('Hareket Girişi'!F72=1,'Hareket Girişi'!A72,"")</f>
        <v/>
      </c>
      <c r="B70">
        <f>IF($A70="", "", 'Hareket Girişi'!B72)</f>
        <v/>
      </c>
      <c r="C70">
        <f>IF($A70="", "", 'Hareket Girişi'!C72)</f>
        <v/>
      </c>
      <c r="D70" s="27">
        <f>IF($A70="", "", 'Hareket Girişi'!D72)</f>
        <v/>
      </c>
      <c r="E70" s="27">
        <f>IF($A70="", "", 'Hareket Girişi'!E72)</f>
        <v/>
      </c>
      <c r="F70" s="27">
        <f>IF($A70="", "", D70-E70)</f>
        <v/>
      </c>
    </row>
    <row r="71">
      <c r="A71" s="11">
        <f>IF('Hareket Girişi'!F73=1,'Hareket Girişi'!A73,"")</f>
        <v/>
      </c>
      <c r="B71">
        <f>IF($A71="", "", 'Hareket Girişi'!B73)</f>
        <v/>
      </c>
      <c r="C71">
        <f>IF($A71="", "", 'Hareket Girişi'!C73)</f>
        <v/>
      </c>
      <c r="D71" s="27">
        <f>IF($A71="", "", 'Hareket Girişi'!D73)</f>
        <v/>
      </c>
      <c r="E71" s="27">
        <f>IF($A71="", "", 'Hareket Girişi'!E73)</f>
        <v/>
      </c>
      <c r="F71" s="27">
        <f>IF($A71="", "", D71-E71)</f>
        <v/>
      </c>
    </row>
    <row r="72">
      <c r="A72" s="11">
        <f>IF('Hareket Girişi'!F74=1,'Hareket Girişi'!A74,"")</f>
        <v/>
      </c>
      <c r="B72">
        <f>IF($A72="", "", 'Hareket Girişi'!B74)</f>
        <v/>
      </c>
      <c r="C72">
        <f>IF($A72="", "", 'Hareket Girişi'!C74)</f>
        <v/>
      </c>
      <c r="D72" s="27">
        <f>IF($A72="", "", 'Hareket Girişi'!D74)</f>
        <v/>
      </c>
      <c r="E72" s="27">
        <f>IF($A72="", "", 'Hareket Girişi'!E74)</f>
        <v/>
      </c>
      <c r="F72" s="27">
        <f>IF($A72="", "", D72-E72)</f>
        <v/>
      </c>
    </row>
    <row r="73">
      <c r="A73" s="11">
        <f>IF('Hareket Girişi'!F75=1,'Hareket Girişi'!A75,"")</f>
        <v/>
      </c>
      <c r="B73">
        <f>IF($A73="", "", 'Hareket Girişi'!B75)</f>
        <v/>
      </c>
      <c r="C73">
        <f>IF($A73="", "", 'Hareket Girişi'!C75)</f>
        <v/>
      </c>
      <c r="D73" s="27">
        <f>IF($A73="", "", 'Hareket Girişi'!D75)</f>
        <v/>
      </c>
      <c r="E73" s="27">
        <f>IF($A73="", "", 'Hareket Girişi'!E75)</f>
        <v/>
      </c>
      <c r="F73" s="27">
        <f>IF($A73="", "", D73-E73)</f>
        <v/>
      </c>
    </row>
    <row r="74">
      <c r="A74" s="11">
        <f>IF('Hareket Girişi'!F76=1,'Hareket Girişi'!A76,"")</f>
        <v/>
      </c>
      <c r="B74">
        <f>IF($A74="", "", 'Hareket Girişi'!B76)</f>
        <v/>
      </c>
      <c r="C74">
        <f>IF($A74="", "", 'Hareket Girişi'!C76)</f>
        <v/>
      </c>
      <c r="D74" s="27">
        <f>IF($A74="", "", 'Hareket Girişi'!D76)</f>
        <v/>
      </c>
      <c r="E74" s="27">
        <f>IF($A74="", "", 'Hareket Girişi'!E76)</f>
        <v/>
      </c>
      <c r="F74" s="27">
        <f>IF($A74="", "", D74-E74)</f>
        <v/>
      </c>
    </row>
    <row r="75">
      <c r="A75" s="11">
        <f>IF('Hareket Girişi'!F77=1,'Hareket Girişi'!A77,"")</f>
        <v/>
      </c>
      <c r="B75">
        <f>IF($A75="", "", 'Hareket Girişi'!B77)</f>
        <v/>
      </c>
      <c r="C75">
        <f>IF($A75="", "", 'Hareket Girişi'!C77)</f>
        <v/>
      </c>
      <c r="D75" s="27">
        <f>IF($A75="", "", 'Hareket Girişi'!D77)</f>
        <v/>
      </c>
      <c r="E75" s="27">
        <f>IF($A75="", "", 'Hareket Girişi'!E77)</f>
        <v/>
      </c>
      <c r="F75" s="27">
        <f>IF($A75="", "", D75-E75)</f>
        <v/>
      </c>
    </row>
    <row r="76">
      <c r="A76" s="11">
        <f>IF('Hareket Girişi'!F78=1,'Hareket Girişi'!A78,"")</f>
        <v/>
      </c>
      <c r="B76">
        <f>IF($A76="", "", 'Hareket Girişi'!B78)</f>
        <v/>
      </c>
      <c r="C76">
        <f>IF($A76="", "", 'Hareket Girişi'!C78)</f>
        <v/>
      </c>
      <c r="D76" s="27">
        <f>IF($A76="", "", 'Hareket Girişi'!D78)</f>
        <v/>
      </c>
      <c r="E76" s="27">
        <f>IF($A76="", "", 'Hareket Girişi'!E78)</f>
        <v/>
      </c>
      <c r="F76" s="27">
        <f>IF($A76="", "", D76-E76)</f>
        <v/>
      </c>
    </row>
    <row r="77">
      <c r="A77" s="11">
        <f>IF('Hareket Girişi'!F79=1,'Hareket Girişi'!A79,"")</f>
        <v/>
      </c>
      <c r="B77">
        <f>IF($A77="", "", 'Hareket Girişi'!B79)</f>
        <v/>
      </c>
      <c r="C77">
        <f>IF($A77="", "", 'Hareket Girişi'!C79)</f>
        <v/>
      </c>
      <c r="D77" s="27">
        <f>IF($A77="", "", 'Hareket Girişi'!D79)</f>
        <v/>
      </c>
      <c r="E77" s="27">
        <f>IF($A77="", "", 'Hareket Girişi'!E79)</f>
        <v/>
      </c>
      <c r="F77" s="27">
        <f>IF($A77="", "", D77-E77)</f>
        <v/>
      </c>
    </row>
    <row r="78">
      <c r="A78" s="11">
        <f>IF('Hareket Girişi'!F80=1,'Hareket Girişi'!A80,"")</f>
        <v/>
      </c>
      <c r="B78">
        <f>IF($A78="", "", 'Hareket Girişi'!B80)</f>
        <v/>
      </c>
      <c r="C78">
        <f>IF($A78="", "", 'Hareket Girişi'!C80)</f>
        <v/>
      </c>
      <c r="D78" s="27">
        <f>IF($A78="", "", 'Hareket Girişi'!D80)</f>
        <v/>
      </c>
      <c r="E78" s="27">
        <f>IF($A78="", "", 'Hareket Girişi'!E80)</f>
        <v/>
      </c>
      <c r="F78" s="27">
        <f>IF($A78="", "", D78-E78)</f>
        <v/>
      </c>
    </row>
    <row r="79">
      <c r="A79" s="11">
        <f>IF('Hareket Girişi'!F81=1,'Hareket Girişi'!A81,"")</f>
        <v/>
      </c>
      <c r="B79">
        <f>IF($A79="", "", 'Hareket Girişi'!B81)</f>
        <v/>
      </c>
      <c r="C79">
        <f>IF($A79="", "", 'Hareket Girişi'!C81)</f>
        <v/>
      </c>
      <c r="D79" s="27">
        <f>IF($A79="", "", 'Hareket Girişi'!D81)</f>
        <v/>
      </c>
      <c r="E79" s="27">
        <f>IF($A79="", "", 'Hareket Girişi'!E81)</f>
        <v/>
      </c>
      <c r="F79" s="27">
        <f>IF($A79="", "", D79-E79)</f>
        <v/>
      </c>
    </row>
    <row r="80">
      <c r="A80" s="11">
        <f>IF('Hareket Girişi'!F82=1,'Hareket Girişi'!A82,"")</f>
        <v/>
      </c>
      <c r="B80">
        <f>IF($A80="", "", 'Hareket Girişi'!B82)</f>
        <v/>
      </c>
      <c r="C80">
        <f>IF($A80="", "", 'Hareket Girişi'!C82)</f>
        <v/>
      </c>
      <c r="D80" s="27">
        <f>IF($A80="", "", 'Hareket Girişi'!D82)</f>
        <v/>
      </c>
      <c r="E80" s="27">
        <f>IF($A80="", "", 'Hareket Girişi'!E82)</f>
        <v/>
      </c>
      <c r="F80" s="27">
        <f>IF($A80="", "", D80-E80)</f>
        <v/>
      </c>
    </row>
    <row r="81">
      <c r="A81" s="11">
        <f>IF('Hareket Girişi'!F83=1,'Hareket Girişi'!A83,"")</f>
        <v/>
      </c>
      <c r="B81">
        <f>IF($A81="", "", 'Hareket Girişi'!B83)</f>
        <v/>
      </c>
      <c r="C81">
        <f>IF($A81="", "", 'Hareket Girişi'!C83)</f>
        <v/>
      </c>
      <c r="D81" s="27">
        <f>IF($A81="", "", 'Hareket Girişi'!D83)</f>
        <v/>
      </c>
      <c r="E81" s="27">
        <f>IF($A81="", "", 'Hareket Girişi'!E83)</f>
        <v/>
      </c>
      <c r="F81" s="27">
        <f>IF($A81="", "", D81-E81)</f>
        <v/>
      </c>
    </row>
    <row r="82">
      <c r="A82" s="11">
        <f>IF('Hareket Girişi'!F84=1,'Hareket Girişi'!A84,"")</f>
        <v/>
      </c>
      <c r="B82">
        <f>IF($A82="", "", 'Hareket Girişi'!B84)</f>
        <v/>
      </c>
      <c r="C82">
        <f>IF($A82="", "", 'Hareket Girişi'!C84)</f>
        <v/>
      </c>
      <c r="D82" s="27">
        <f>IF($A82="", "", 'Hareket Girişi'!D84)</f>
        <v/>
      </c>
      <c r="E82" s="27">
        <f>IF($A82="", "", 'Hareket Girişi'!E84)</f>
        <v/>
      </c>
      <c r="F82" s="27">
        <f>IF($A82="", "", D82-E82)</f>
        <v/>
      </c>
    </row>
    <row r="83">
      <c r="A83" s="11">
        <f>IF('Hareket Girişi'!F85=1,'Hareket Girişi'!A85,"")</f>
        <v/>
      </c>
      <c r="B83">
        <f>IF($A83="", "", 'Hareket Girişi'!B85)</f>
        <v/>
      </c>
      <c r="C83">
        <f>IF($A83="", "", 'Hareket Girişi'!C85)</f>
        <v/>
      </c>
      <c r="D83" s="27">
        <f>IF($A83="", "", 'Hareket Girişi'!D85)</f>
        <v/>
      </c>
      <c r="E83" s="27">
        <f>IF($A83="", "", 'Hareket Girişi'!E85)</f>
        <v/>
      </c>
      <c r="F83" s="27">
        <f>IF($A83="", "", D83-E83)</f>
        <v/>
      </c>
    </row>
    <row r="84">
      <c r="A84" s="11">
        <f>IF('Hareket Girişi'!F86=1,'Hareket Girişi'!A86,"")</f>
        <v/>
      </c>
      <c r="B84">
        <f>IF($A84="", "", 'Hareket Girişi'!B86)</f>
        <v/>
      </c>
      <c r="C84">
        <f>IF($A84="", "", 'Hareket Girişi'!C86)</f>
        <v/>
      </c>
      <c r="D84" s="27">
        <f>IF($A84="", "", 'Hareket Girişi'!D86)</f>
        <v/>
      </c>
      <c r="E84" s="27">
        <f>IF($A84="", "", 'Hareket Girişi'!E86)</f>
        <v/>
      </c>
      <c r="F84" s="27">
        <f>IF($A84="", "", D84-E84)</f>
        <v/>
      </c>
    </row>
    <row r="85">
      <c r="A85" s="11">
        <f>IF('Hareket Girişi'!F87=1,'Hareket Girişi'!A87,"")</f>
        <v/>
      </c>
      <c r="B85">
        <f>IF($A85="", "", 'Hareket Girişi'!B87)</f>
        <v/>
      </c>
      <c r="C85">
        <f>IF($A85="", "", 'Hareket Girişi'!C87)</f>
        <v/>
      </c>
      <c r="D85" s="27">
        <f>IF($A85="", "", 'Hareket Girişi'!D87)</f>
        <v/>
      </c>
      <c r="E85" s="27">
        <f>IF($A85="", "", 'Hareket Girişi'!E87)</f>
        <v/>
      </c>
      <c r="F85" s="27">
        <f>IF($A85="", "", D85-E85)</f>
        <v/>
      </c>
    </row>
    <row r="86">
      <c r="A86" s="11">
        <f>IF('Hareket Girişi'!F88=1,'Hareket Girişi'!A88,"")</f>
        <v/>
      </c>
      <c r="B86">
        <f>IF($A86="", "", 'Hareket Girişi'!B88)</f>
        <v/>
      </c>
      <c r="C86">
        <f>IF($A86="", "", 'Hareket Girişi'!C88)</f>
        <v/>
      </c>
      <c r="D86" s="27">
        <f>IF($A86="", "", 'Hareket Girişi'!D88)</f>
        <v/>
      </c>
      <c r="E86" s="27">
        <f>IF($A86="", "", 'Hareket Girişi'!E88)</f>
        <v/>
      </c>
      <c r="F86" s="27">
        <f>IF($A86="", "", D86-E86)</f>
        <v/>
      </c>
    </row>
    <row r="87">
      <c r="A87" s="11">
        <f>IF('Hareket Girişi'!F89=1,'Hareket Girişi'!A89,"")</f>
        <v/>
      </c>
      <c r="B87">
        <f>IF($A87="", "", 'Hareket Girişi'!B89)</f>
        <v/>
      </c>
      <c r="C87">
        <f>IF($A87="", "", 'Hareket Girişi'!C89)</f>
        <v/>
      </c>
      <c r="D87" s="27">
        <f>IF($A87="", "", 'Hareket Girişi'!D89)</f>
        <v/>
      </c>
      <c r="E87" s="27">
        <f>IF($A87="", "", 'Hareket Girişi'!E89)</f>
        <v/>
      </c>
      <c r="F87" s="27">
        <f>IF($A87="", "", D87-E87)</f>
        <v/>
      </c>
    </row>
    <row r="88">
      <c r="A88" s="11">
        <f>IF('Hareket Girişi'!F90=1,'Hareket Girişi'!A90,"")</f>
        <v/>
      </c>
      <c r="B88">
        <f>IF($A88="", "", 'Hareket Girişi'!B90)</f>
        <v/>
      </c>
      <c r="C88">
        <f>IF($A88="", "", 'Hareket Girişi'!C90)</f>
        <v/>
      </c>
      <c r="D88" s="27">
        <f>IF($A88="", "", 'Hareket Girişi'!D90)</f>
        <v/>
      </c>
      <c r="E88" s="27">
        <f>IF($A88="", "", 'Hareket Girişi'!E90)</f>
        <v/>
      </c>
      <c r="F88" s="27">
        <f>IF($A88="", "", D88-E88)</f>
        <v/>
      </c>
    </row>
    <row r="89">
      <c r="A89" s="11">
        <f>IF('Hareket Girişi'!F91=1,'Hareket Girişi'!A91,"")</f>
        <v/>
      </c>
      <c r="B89">
        <f>IF($A89="", "", 'Hareket Girişi'!B91)</f>
        <v/>
      </c>
      <c r="C89">
        <f>IF($A89="", "", 'Hareket Girişi'!C91)</f>
        <v/>
      </c>
      <c r="D89" s="27">
        <f>IF($A89="", "", 'Hareket Girişi'!D91)</f>
        <v/>
      </c>
      <c r="E89" s="27">
        <f>IF($A89="", "", 'Hareket Girişi'!E91)</f>
        <v/>
      </c>
      <c r="F89" s="27">
        <f>IF($A89="", "", D89-E89)</f>
        <v/>
      </c>
    </row>
    <row r="90">
      <c r="A90" s="11">
        <f>IF('Hareket Girişi'!F92=1,'Hareket Girişi'!A92,"")</f>
        <v/>
      </c>
      <c r="B90">
        <f>IF($A90="", "", 'Hareket Girişi'!B92)</f>
        <v/>
      </c>
      <c r="C90">
        <f>IF($A90="", "", 'Hareket Girişi'!C92)</f>
        <v/>
      </c>
      <c r="D90" s="27">
        <f>IF($A90="", "", 'Hareket Girişi'!D92)</f>
        <v/>
      </c>
      <c r="E90" s="27">
        <f>IF($A90="", "", 'Hareket Girişi'!E92)</f>
        <v/>
      </c>
      <c r="F90" s="27">
        <f>IF($A90="", "", D90-E90)</f>
        <v/>
      </c>
    </row>
    <row r="91">
      <c r="A91" s="11">
        <f>IF('Hareket Girişi'!F93=1,'Hareket Girişi'!A93,"")</f>
        <v/>
      </c>
      <c r="B91">
        <f>IF($A91="", "", 'Hareket Girişi'!B93)</f>
        <v/>
      </c>
      <c r="C91">
        <f>IF($A91="", "", 'Hareket Girişi'!C93)</f>
        <v/>
      </c>
      <c r="D91" s="27">
        <f>IF($A91="", "", 'Hareket Girişi'!D93)</f>
        <v/>
      </c>
      <c r="E91" s="27">
        <f>IF($A91="", "", 'Hareket Girişi'!E93)</f>
        <v/>
      </c>
      <c r="F91" s="27">
        <f>IF($A91="", "", D91-E91)</f>
        <v/>
      </c>
    </row>
    <row r="92">
      <c r="A92" s="11">
        <f>IF('Hareket Girişi'!F94=1,'Hareket Girişi'!A94,"")</f>
        <v/>
      </c>
      <c r="B92">
        <f>IF($A92="", "", 'Hareket Girişi'!B94)</f>
        <v/>
      </c>
      <c r="C92">
        <f>IF($A92="", "", 'Hareket Girişi'!C94)</f>
        <v/>
      </c>
      <c r="D92" s="27">
        <f>IF($A92="", "", 'Hareket Girişi'!D94)</f>
        <v/>
      </c>
      <c r="E92" s="27">
        <f>IF($A92="", "", 'Hareket Girişi'!E94)</f>
        <v/>
      </c>
      <c r="F92" s="27">
        <f>IF($A92="", "", D92-E92)</f>
        <v/>
      </c>
    </row>
    <row r="93">
      <c r="A93" s="11">
        <f>IF('Hareket Girişi'!F95=1,'Hareket Girişi'!A95,"")</f>
        <v/>
      </c>
      <c r="B93">
        <f>IF($A93="", "", 'Hareket Girişi'!B95)</f>
        <v/>
      </c>
      <c r="C93">
        <f>IF($A93="", "", 'Hareket Girişi'!C95)</f>
        <v/>
      </c>
      <c r="D93" s="27">
        <f>IF($A93="", "", 'Hareket Girişi'!D95)</f>
        <v/>
      </c>
      <c r="E93" s="27">
        <f>IF($A93="", "", 'Hareket Girişi'!E95)</f>
        <v/>
      </c>
      <c r="F93" s="27">
        <f>IF($A93="", "", D93-E93)</f>
        <v/>
      </c>
    </row>
    <row r="94">
      <c r="A94" s="11">
        <f>IF('Hareket Girişi'!F96=1,'Hareket Girişi'!A96,"")</f>
        <v/>
      </c>
      <c r="B94">
        <f>IF($A94="", "", 'Hareket Girişi'!B96)</f>
        <v/>
      </c>
      <c r="C94">
        <f>IF($A94="", "", 'Hareket Girişi'!C96)</f>
        <v/>
      </c>
      <c r="D94" s="27">
        <f>IF($A94="", "", 'Hareket Girişi'!D96)</f>
        <v/>
      </c>
      <c r="E94" s="27">
        <f>IF($A94="", "", 'Hareket Girişi'!E96)</f>
        <v/>
      </c>
      <c r="F94" s="27">
        <f>IF($A94="", "", D94-E94)</f>
        <v/>
      </c>
    </row>
    <row r="95">
      <c r="A95" s="11">
        <f>IF('Hareket Girişi'!F97=1,'Hareket Girişi'!A97,"")</f>
        <v/>
      </c>
      <c r="B95">
        <f>IF($A95="", "", 'Hareket Girişi'!B97)</f>
        <v/>
      </c>
      <c r="C95">
        <f>IF($A95="", "", 'Hareket Girişi'!C97)</f>
        <v/>
      </c>
      <c r="D95" s="27">
        <f>IF($A95="", "", 'Hareket Girişi'!D97)</f>
        <v/>
      </c>
      <c r="E95" s="27">
        <f>IF($A95="", "", 'Hareket Girişi'!E97)</f>
        <v/>
      </c>
      <c r="F95" s="27">
        <f>IF($A95="", "", D95-E95)</f>
        <v/>
      </c>
    </row>
    <row r="96">
      <c r="A96" s="11">
        <f>IF('Hareket Girişi'!F98=1,'Hareket Girişi'!A98,"")</f>
        <v/>
      </c>
      <c r="B96">
        <f>IF($A96="", "", 'Hareket Girişi'!B98)</f>
        <v/>
      </c>
      <c r="C96">
        <f>IF($A96="", "", 'Hareket Girişi'!C98)</f>
        <v/>
      </c>
      <c r="D96" s="27">
        <f>IF($A96="", "", 'Hareket Girişi'!D98)</f>
        <v/>
      </c>
      <c r="E96" s="27">
        <f>IF($A96="", "", 'Hareket Girişi'!E98)</f>
        <v/>
      </c>
      <c r="F96" s="27">
        <f>IF($A96="", "", D96-E96)</f>
        <v/>
      </c>
    </row>
    <row r="97">
      <c r="A97" s="11">
        <f>IF('Hareket Girişi'!F99=1,'Hareket Girişi'!A99,"")</f>
        <v/>
      </c>
      <c r="B97">
        <f>IF($A97="", "", 'Hareket Girişi'!B99)</f>
        <v/>
      </c>
      <c r="C97">
        <f>IF($A97="", "", 'Hareket Girişi'!C99)</f>
        <v/>
      </c>
      <c r="D97" s="27">
        <f>IF($A97="", "", 'Hareket Girişi'!D99)</f>
        <v/>
      </c>
      <c r="E97" s="27">
        <f>IF($A97="", "", 'Hareket Girişi'!E99)</f>
        <v/>
      </c>
      <c r="F97" s="27">
        <f>IF($A97="", "", D97-E97)</f>
        <v/>
      </c>
    </row>
    <row r="98">
      <c r="A98" s="11">
        <f>IF('Hareket Girişi'!F100=1,'Hareket Girişi'!A100,"")</f>
        <v/>
      </c>
      <c r="B98">
        <f>IF($A98="", "", 'Hareket Girişi'!B100)</f>
        <v/>
      </c>
      <c r="C98">
        <f>IF($A98="", "", 'Hareket Girişi'!C100)</f>
        <v/>
      </c>
      <c r="D98" s="27">
        <f>IF($A98="", "", 'Hareket Girişi'!D100)</f>
        <v/>
      </c>
      <c r="E98" s="27">
        <f>IF($A98="", "", 'Hareket Girişi'!E100)</f>
        <v/>
      </c>
      <c r="F98" s="27">
        <f>IF($A98="", "", D98-E98)</f>
        <v/>
      </c>
    </row>
    <row r="99">
      <c r="A99" s="11">
        <f>IF('Hareket Girişi'!F101=1,'Hareket Girişi'!A101,"")</f>
        <v/>
      </c>
      <c r="B99">
        <f>IF($A99="", "", 'Hareket Girişi'!B101)</f>
        <v/>
      </c>
      <c r="C99">
        <f>IF($A99="", "", 'Hareket Girişi'!C101)</f>
        <v/>
      </c>
      <c r="D99" s="27">
        <f>IF($A99="", "", 'Hareket Girişi'!D101)</f>
        <v/>
      </c>
      <c r="E99" s="27">
        <f>IF($A99="", "", 'Hareket Girişi'!E101)</f>
        <v/>
      </c>
      <c r="F99" s="27">
        <f>IF($A99="", "", D99-E99)</f>
        <v/>
      </c>
    </row>
    <row r="100">
      <c r="A100" s="11">
        <f>IF('Hareket Girişi'!F102=1,'Hareket Girişi'!A102,"")</f>
        <v/>
      </c>
      <c r="B100">
        <f>IF($A100="", "", 'Hareket Girişi'!B102)</f>
        <v/>
      </c>
      <c r="C100">
        <f>IF($A100="", "", 'Hareket Girişi'!C102)</f>
        <v/>
      </c>
      <c r="D100" s="27">
        <f>IF($A100="", "", 'Hareket Girişi'!D102)</f>
        <v/>
      </c>
      <c r="E100" s="27">
        <f>IF($A100="", "", 'Hareket Girişi'!E102)</f>
        <v/>
      </c>
      <c r="F100" s="27">
        <f>IF($A100="", "", D100-E100)</f>
        <v/>
      </c>
    </row>
    <row r="101">
      <c r="A101" s="11">
        <f>IF('Hareket Girişi'!F103=1,'Hareket Girişi'!A103,"")</f>
        <v/>
      </c>
      <c r="B101">
        <f>IF($A101="", "", 'Hareket Girişi'!B103)</f>
        <v/>
      </c>
      <c r="C101">
        <f>IF($A101="", "", 'Hareket Girişi'!C103)</f>
        <v/>
      </c>
      <c r="D101" s="27">
        <f>IF($A101="", "", 'Hareket Girişi'!D103)</f>
        <v/>
      </c>
      <c r="E101" s="27">
        <f>IF($A101="", "", 'Hareket Girişi'!E103)</f>
        <v/>
      </c>
      <c r="F101" s="27">
        <f>IF($A101="", "", D101-E101)</f>
        <v/>
      </c>
    </row>
    <row r="102">
      <c r="A102" s="11">
        <f>IF('Hareket Girişi'!F104=1,'Hareket Girişi'!A104,"")</f>
        <v/>
      </c>
      <c r="B102">
        <f>IF($A102="", "", 'Hareket Girişi'!B104)</f>
        <v/>
      </c>
      <c r="C102">
        <f>IF($A102="", "", 'Hareket Girişi'!C104)</f>
        <v/>
      </c>
      <c r="D102" s="27">
        <f>IF($A102="", "", 'Hareket Girişi'!D104)</f>
        <v/>
      </c>
      <c r="E102" s="27">
        <f>IF($A102="", "", 'Hareket Girişi'!E104)</f>
        <v/>
      </c>
      <c r="F102" s="27">
        <f>IF($A102="", "", D102-E102)</f>
        <v/>
      </c>
    </row>
    <row r="103">
      <c r="A103" s="11">
        <f>IF('Hareket Girişi'!F105=1,'Hareket Girişi'!A105,"")</f>
        <v/>
      </c>
      <c r="B103">
        <f>IF($A103="", "", 'Hareket Girişi'!B105)</f>
        <v/>
      </c>
      <c r="C103">
        <f>IF($A103="", "", 'Hareket Girişi'!C105)</f>
        <v/>
      </c>
      <c r="D103" s="27">
        <f>IF($A103="", "", 'Hareket Girişi'!D105)</f>
        <v/>
      </c>
      <c r="E103" s="27">
        <f>IF($A103="", "", 'Hareket Girişi'!E105)</f>
        <v/>
      </c>
      <c r="F103" s="27">
        <f>IF($A103="", "", D103-E103)</f>
        <v/>
      </c>
    </row>
    <row r="104">
      <c r="A104" s="11">
        <f>IF('Hareket Girişi'!F106=1,'Hareket Girişi'!A106,"")</f>
        <v/>
      </c>
      <c r="B104">
        <f>IF($A104="", "", 'Hareket Girişi'!B106)</f>
        <v/>
      </c>
      <c r="C104">
        <f>IF($A104="", "", 'Hareket Girişi'!C106)</f>
        <v/>
      </c>
      <c r="D104" s="27">
        <f>IF($A104="", "", 'Hareket Girişi'!D106)</f>
        <v/>
      </c>
      <c r="E104" s="27">
        <f>IF($A104="", "", 'Hareket Girişi'!E106)</f>
        <v/>
      </c>
      <c r="F104" s="27">
        <f>IF($A104="", "", D104-E104)</f>
        <v/>
      </c>
    </row>
    <row r="105">
      <c r="A105" s="11">
        <f>IF('Hareket Girişi'!F107=1,'Hareket Girişi'!A107,"")</f>
        <v/>
      </c>
      <c r="B105">
        <f>IF($A105="", "", 'Hareket Girişi'!B107)</f>
        <v/>
      </c>
      <c r="C105">
        <f>IF($A105="", "", 'Hareket Girişi'!C107)</f>
        <v/>
      </c>
      <c r="D105" s="27">
        <f>IF($A105="", "", 'Hareket Girişi'!D107)</f>
        <v/>
      </c>
      <c r="E105" s="27">
        <f>IF($A105="", "", 'Hareket Girişi'!E107)</f>
        <v/>
      </c>
      <c r="F105" s="27">
        <f>IF($A105="", "", D105-E105)</f>
        <v/>
      </c>
    </row>
    <row r="106">
      <c r="A106" s="11">
        <f>IF('Hareket Girişi'!F108=1,'Hareket Girişi'!A108,"")</f>
        <v/>
      </c>
      <c r="B106">
        <f>IF($A106="", "", 'Hareket Girişi'!B108)</f>
        <v/>
      </c>
      <c r="C106">
        <f>IF($A106="", "", 'Hareket Girişi'!C108)</f>
        <v/>
      </c>
      <c r="D106" s="27">
        <f>IF($A106="", "", 'Hareket Girişi'!D108)</f>
        <v/>
      </c>
      <c r="E106" s="27">
        <f>IF($A106="", "", 'Hareket Girişi'!E108)</f>
        <v/>
      </c>
      <c r="F106" s="27">
        <f>IF($A106="", "", D106-E106)</f>
        <v/>
      </c>
    </row>
    <row r="107">
      <c r="A107" s="11">
        <f>IF('Hareket Girişi'!F109=1,'Hareket Girişi'!A109,"")</f>
        <v/>
      </c>
      <c r="B107">
        <f>IF($A107="", "", 'Hareket Girişi'!B109)</f>
        <v/>
      </c>
      <c r="C107">
        <f>IF($A107="", "", 'Hareket Girişi'!C109)</f>
        <v/>
      </c>
      <c r="D107" s="27">
        <f>IF($A107="", "", 'Hareket Girişi'!D109)</f>
        <v/>
      </c>
      <c r="E107" s="27">
        <f>IF($A107="", "", 'Hareket Girişi'!E109)</f>
        <v/>
      </c>
      <c r="F107" s="27">
        <f>IF($A107="", "", D107-E107)</f>
        <v/>
      </c>
    </row>
    <row r="108">
      <c r="A108" s="11">
        <f>IF('Hareket Girişi'!F110=1,'Hareket Girişi'!A110,"")</f>
        <v/>
      </c>
      <c r="B108">
        <f>IF($A108="", "", 'Hareket Girişi'!B110)</f>
        <v/>
      </c>
      <c r="C108">
        <f>IF($A108="", "", 'Hareket Girişi'!C110)</f>
        <v/>
      </c>
      <c r="D108" s="27">
        <f>IF($A108="", "", 'Hareket Girişi'!D110)</f>
        <v/>
      </c>
      <c r="E108" s="27">
        <f>IF($A108="", "", 'Hareket Girişi'!E110)</f>
        <v/>
      </c>
      <c r="F108" s="27">
        <f>IF($A108="", "", D108-E108)</f>
        <v/>
      </c>
    </row>
    <row r="109">
      <c r="A109" s="11">
        <f>IF('Hareket Girişi'!F111=1,'Hareket Girişi'!A111,"")</f>
        <v/>
      </c>
      <c r="B109">
        <f>IF($A109="", "", 'Hareket Girişi'!B111)</f>
        <v/>
      </c>
      <c r="C109">
        <f>IF($A109="", "", 'Hareket Girişi'!C111)</f>
        <v/>
      </c>
      <c r="D109" s="27">
        <f>IF($A109="", "", 'Hareket Girişi'!D111)</f>
        <v/>
      </c>
      <c r="E109" s="27">
        <f>IF($A109="", "", 'Hareket Girişi'!E111)</f>
        <v/>
      </c>
      <c r="F109" s="27">
        <f>IF($A109="", "", D109-E109)</f>
        <v/>
      </c>
    </row>
    <row r="110">
      <c r="A110" s="11">
        <f>IF('Hareket Girişi'!F112=1,'Hareket Girişi'!A112,"")</f>
        <v/>
      </c>
      <c r="B110">
        <f>IF($A110="", "", 'Hareket Girişi'!B112)</f>
        <v/>
      </c>
      <c r="C110">
        <f>IF($A110="", "", 'Hareket Girişi'!C112)</f>
        <v/>
      </c>
      <c r="D110" s="27">
        <f>IF($A110="", "", 'Hareket Girişi'!D112)</f>
        <v/>
      </c>
      <c r="E110" s="27">
        <f>IF($A110="", "", 'Hareket Girişi'!E112)</f>
        <v/>
      </c>
      <c r="F110" s="27">
        <f>IF($A110="", "", D110-E110)</f>
        <v/>
      </c>
    </row>
    <row r="111">
      <c r="A111" s="11">
        <f>IF('Hareket Girişi'!F113=1,'Hareket Girişi'!A113,"")</f>
        <v/>
      </c>
      <c r="B111">
        <f>IF($A111="", "", 'Hareket Girişi'!B113)</f>
        <v/>
      </c>
      <c r="C111">
        <f>IF($A111="", "", 'Hareket Girişi'!C113)</f>
        <v/>
      </c>
      <c r="D111" s="27">
        <f>IF($A111="", "", 'Hareket Girişi'!D113)</f>
        <v/>
      </c>
      <c r="E111" s="27">
        <f>IF($A111="", "", 'Hareket Girişi'!E113)</f>
        <v/>
      </c>
      <c r="F111" s="27">
        <f>IF($A111="", "", D111-E111)</f>
        <v/>
      </c>
    </row>
    <row r="112">
      <c r="A112" s="11">
        <f>IF('Hareket Girişi'!F114=1,'Hareket Girişi'!A114,"")</f>
        <v/>
      </c>
      <c r="B112">
        <f>IF($A112="", "", 'Hareket Girişi'!B114)</f>
        <v/>
      </c>
      <c r="C112">
        <f>IF($A112="", "", 'Hareket Girişi'!C114)</f>
        <v/>
      </c>
      <c r="D112" s="27">
        <f>IF($A112="", "", 'Hareket Girişi'!D114)</f>
        <v/>
      </c>
      <c r="E112" s="27">
        <f>IF($A112="", "", 'Hareket Girişi'!E114)</f>
        <v/>
      </c>
      <c r="F112" s="27">
        <f>IF($A112="", "", D112-E112)</f>
        <v/>
      </c>
    </row>
    <row r="113">
      <c r="A113" s="11">
        <f>IF('Hareket Girişi'!F115=1,'Hareket Girişi'!A115,"")</f>
        <v/>
      </c>
      <c r="B113">
        <f>IF($A113="", "", 'Hareket Girişi'!B115)</f>
        <v/>
      </c>
      <c r="C113">
        <f>IF($A113="", "", 'Hareket Girişi'!C115)</f>
        <v/>
      </c>
      <c r="D113" s="27">
        <f>IF($A113="", "", 'Hareket Girişi'!D115)</f>
        <v/>
      </c>
      <c r="E113" s="27">
        <f>IF($A113="", "", 'Hareket Girişi'!E115)</f>
        <v/>
      </c>
      <c r="F113" s="27">
        <f>IF($A113="", "", D113-E113)</f>
        <v/>
      </c>
    </row>
    <row r="114">
      <c r="A114" s="11">
        <f>IF('Hareket Girişi'!F116=1,'Hareket Girişi'!A116,"")</f>
        <v/>
      </c>
      <c r="B114">
        <f>IF($A114="", "", 'Hareket Girişi'!B116)</f>
        <v/>
      </c>
      <c r="C114">
        <f>IF($A114="", "", 'Hareket Girişi'!C116)</f>
        <v/>
      </c>
      <c r="D114" s="27">
        <f>IF($A114="", "", 'Hareket Girişi'!D116)</f>
        <v/>
      </c>
      <c r="E114" s="27">
        <f>IF($A114="", "", 'Hareket Girişi'!E116)</f>
        <v/>
      </c>
      <c r="F114" s="27">
        <f>IF($A114="", "", D114-E114)</f>
        <v/>
      </c>
    </row>
    <row r="115">
      <c r="A115" s="11">
        <f>IF('Hareket Girişi'!F117=1,'Hareket Girişi'!A117,"")</f>
        <v/>
      </c>
      <c r="B115">
        <f>IF($A115="", "", 'Hareket Girişi'!B117)</f>
        <v/>
      </c>
      <c r="C115">
        <f>IF($A115="", "", 'Hareket Girişi'!C117)</f>
        <v/>
      </c>
      <c r="D115" s="27">
        <f>IF($A115="", "", 'Hareket Girişi'!D117)</f>
        <v/>
      </c>
      <c r="E115" s="27">
        <f>IF($A115="", "", 'Hareket Girişi'!E117)</f>
        <v/>
      </c>
      <c r="F115" s="27">
        <f>IF($A115="", "", D115-E115)</f>
        <v/>
      </c>
    </row>
    <row r="116">
      <c r="A116" s="11">
        <f>IF('Hareket Girişi'!F118=1,'Hareket Girişi'!A118,"")</f>
        <v/>
      </c>
      <c r="B116">
        <f>IF($A116="", "", 'Hareket Girişi'!B118)</f>
        <v/>
      </c>
      <c r="C116">
        <f>IF($A116="", "", 'Hareket Girişi'!C118)</f>
        <v/>
      </c>
      <c r="D116" s="27">
        <f>IF($A116="", "", 'Hareket Girişi'!D118)</f>
        <v/>
      </c>
      <c r="E116" s="27">
        <f>IF($A116="", "", 'Hareket Girişi'!E118)</f>
        <v/>
      </c>
      <c r="F116" s="27">
        <f>IF($A116="", "", D116-E116)</f>
        <v/>
      </c>
    </row>
    <row r="117">
      <c r="A117" s="11">
        <f>IF('Hareket Girişi'!F119=1,'Hareket Girişi'!A119,"")</f>
        <v/>
      </c>
      <c r="B117">
        <f>IF($A117="", "", 'Hareket Girişi'!B119)</f>
        <v/>
      </c>
      <c r="C117">
        <f>IF($A117="", "", 'Hareket Girişi'!C119)</f>
        <v/>
      </c>
      <c r="D117" s="27">
        <f>IF($A117="", "", 'Hareket Girişi'!D119)</f>
        <v/>
      </c>
      <c r="E117" s="27">
        <f>IF($A117="", "", 'Hareket Girişi'!E119)</f>
        <v/>
      </c>
      <c r="F117" s="27">
        <f>IF($A117="", "", D117-E117)</f>
        <v/>
      </c>
    </row>
    <row r="118">
      <c r="A118" s="11">
        <f>IF('Hareket Girişi'!F120=1,'Hareket Girişi'!A120,"")</f>
        <v/>
      </c>
      <c r="B118">
        <f>IF($A118="", "", 'Hareket Girişi'!B120)</f>
        <v/>
      </c>
      <c r="C118">
        <f>IF($A118="", "", 'Hareket Girişi'!C120)</f>
        <v/>
      </c>
      <c r="D118" s="27">
        <f>IF($A118="", "", 'Hareket Girişi'!D120)</f>
        <v/>
      </c>
      <c r="E118" s="27">
        <f>IF($A118="", "", 'Hareket Girişi'!E120)</f>
        <v/>
      </c>
      <c r="F118" s="27">
        <f>IF($A118="", "", D118-E118)</f>
        <v/>
      </c>
    </row>
    <row r="119">
      <c r="A119" s="11">
        <f>IF('Hareket Girişi'!F121=1,'Hareket Girişi'!A121,"")</f>
        <v/>
      </c>
      <c r="B119">
        <f>IF($A119="", "", 'Hareket Girişi'!B121)</f>
        <v/>
      </c>
      <c r="C119">
        <f>IF($A119="", "", 'Hareket Girişi'!C121)</f>
        <v/>
      </c>
      <c r="D119" s="27">
        <f>IF($A119="", "", 'Hareket Girişi'!D121)</f>
        <v/>
      </c>
      <c r="E119" s="27">
        <f>IF($A119="", "", 'Hareket Girişi'!E121)</f>
        <v/>
      </c>
      <c r="F119" s="27">
        <f>IF($A119="", "", D119-E119)</f>
        <v/>
      </c>
    </row>
    <row r="120">
      <c r="A120" s="11">
        <f>IF('Hareket Girişi'!F122=1,'Hareket Girişi'!A122,"")</f>
        <v/>
      </c>
      <c r="B120">
        <f>IF($A120="", "", 'Hareket Girişi'!B122)</f>
        <v/>
      </c>
      <c r="C120">
        <f>IF($A120="", "", 'Hareket Girişi'!C122)</f>
        <v/>
      </c>
      <c r="D120" s="27">
        <f>IF($A120="", "", 'Hareket Girişi'!D122)</f>
        <v/>
      </c>
      <c r="E120" s="27">
        <f>IF($A120="", "", 'Hareket Girişi'!E122)</f>
        <v/>
      </c>
      <c r="F120" s="27">
        <f>IF($A120="", "", D120-E120)</f>
        <v/>
      </c>
    </row>
    <row r="121">
      <c r="A121" s="11">
        <f>IF('Hareket Girişi'!F123=1,'Hareket Girişi'!A123,"")</f>
        <v/>
      </c>
      <c r="B121">
        <f>IF($A121="", "", 'Hareket Girişi'!B123)</f>
        <v/>
      </c>
      <c r="C121">
        <f>IF($A121="", "", 'Hareket Girişi'!C123)</f>
        <v/>
      </c>
      <c r="D121" s="27">
        <f>IF($A121="", "", 'Hareket Girişi'!D123)</f>
        <v/>
      </c>
      <c r="E121" s="27">
        <f>IF($A121="", "", 'Hareket Girişi'!E123)</f>
        <v/>
      </c>
      <c r="F121" s="27">
        <f>IF($A121="", "", D121-E121)</f>
        <v/>
      </c>
    </row>
    <row r="122">
      <c r="A122" s="11">
        <f>IF('Hareket Girişi'!F124=1,'Hareket Girişi'!A124,"")</f>
        <v/>
      </c>
      <c r="B122">
        <f>IF($A122="", "", 'Hareket Girişi'!B124)</f>
        <v/>
      </c>
      <c r="C122">
        <f>IF($A122="", "", 'Hareket Girişi'!C124)</f>
        <v/>
      </c>
      <c r="D122" s="27">
        <f>IF($A122="", "", 'Hareket Girişi'!D124)</f>
        <v/>
      </c>
      <c r="E122" s="27">
        <f>IF($A122="", "", 'Hareket Girişi'!E124)</f>
        <v/>
      </c>
      <c r="F122" s="27">
        <f>IF($A122="", "", D122-E122)</f>
        <v/>
      </c>
    </row>
    <row r="123">
      <c r="A123" s="11">
        <f>IF('Hareket Girişi'!F125=1,'Hareket Girişi'!A125,"")</f>
        <v/>
      </c>
      <c r="B123">
        <f>IF($A123="", "", 'Hareket Girişi'!B125)</f>
        <v/>
      </c>
      <c r="C123">
        <f>IF($A123="", "", 'Hareket Girişi'!C125)</f>
        <v/>
      </c>
      <c r="D123" s="27">
        <f>IF($A123="", "", 'Hareket Girişi'!D125)</f>
        <v/>
      </c>
      <c r="E123" s="27">
        <f>IF($A123="", "", 'Hareket Girişi'!E125)</f>
        <v/>
      </c>
      <c r="F123" s="27">
        <f>IF($A123="", "", D123-E123)</f>
        <v/>
      </c>
    </row>
    <row r="124">
      <c r="A124" s="11">
        <f>IF('Hareket Girişi'!F126=1,'Hareket Girişi'!A126,"")</f>
        <v/>
      </c>
      <c r="B124">
        <f>IF($A124="", "", 'Hareket Girişi'!B126)</f>
        <v/>
      </c>
      <c r="C124">
        <f>IF($A124="", "", 'Hareket Girişi'!C126)</f>
        <v/>
      </c>
      <c r="D124" s="27">
        <f>IF($A124="", "", 'Hareket Girişi'!D126)</f>
        <v/>
      </c>
      <c r="E124" s="27">
        <f>IF($A124="", "", 'Hareket Girişi'!E126)</f>
        <v/>
      </c>
      <c r="F124" s="27">
        <f>IF($A124="", "", D124-E124)</f>
        <v/>
      </c>
    </row>
    <row r="125">
      <c r="A125" s="11">
        <f>IF('Hareket Girişi'!F127=1,'Hareket Girişi'!A127,"")</f>
        <v/>
      </c>
      <c r="B125">
        <f>IF($A125="", "", 'Hareket Girişi'!B127)</f>
        <v/>
      </c>
      <c r="C125">
        <f>IF($A125="", "", 'Hareket Girişi'!C127)</f>
        <v/>
      </c>
      <c r="D125" s="27">
        <f>IF($A125="", "", 'Hareket Girişi'!D127)</f>
        <v/>
      </c>
      <c r="E125" s="27">
        <f>IF($A125="", "", 'Hareket Girişi'!E127)</f>
        <v/>
      </c>
      <c r="F125" s="27">
        <f>IF($A125="", "", D125-E125)</f>
        <v/>
      </c>
    </row>
    <row r="126">
      <c r="A126" s="11">
        <f>IF('Hareket Girişi'!F128=1,'Hareket Girişi'!A128,"")</f>
        <v/>
      </c>
      <c r="B126">
        <f>IF($A126="", "", 'Hareket Girişi'!B128)</f>
        <v/>
      </c>
      <c r="C126">
        <f>IF($A126="", "", 'Hareket Girişi'!C128)</f>
        <v/>
      </c>
      <c r="D126" s="27">
        <f>IF($A126="", "", 'Hareket Girişi'!D128)</f>
        <v/>
      </c>
      <c r="E126" s="27">
        <f>IF($A126="", "", 'Hareket Girişi'!E128)</f>
        <v/>
      </c>
      <c r="F126" s="27">
        <f>IF($A126="", "", D126-E126)</f>
        <v/>
      </c>
    </row>
    <row r="127">
      <c r="A127" s="11">
        <f>IF('Hareket Girişi'!F129=1,'Hareket Girişi'!A129,"")</f>
        <v/>
      </c>
      <c r="B127">
        <f>IF($A127="", "", 'Hareket Girişi'!B129)</f>
        <v/>
      </c>
      <c r="C127">
        <f>IF($A127="", "", 'Hareket Girişi'!C129)</f>
        <v/>
      </c>
      <c r="D127" s="27">
        <f>IF($A127="", "", 'Hareket Girişi'!D129)</f>
        <v/>
      </c>
      <c r="E127" s="27">
        <f>IF($A127="", "", 'Hareket Girişi'!E129)</f>
        <v/>
      </c>
      <c r="F127" s="27">
        <f>IF($A127="", "", D127-E127)</f>
        <v/>
      </c>
    </row>
    <row r="128">
      <c r="A128" s="11">
        <f>IF('Hareket Girişi'!F130=1,'Hareket Girişi'!A130,"")</f>
        <v/>
      </c>
      <c r="B128">
        <f>IF($A128="", "", 'Hareket Girişi'!B130)</f>
        <v/>
      </c>
      <c r="C128">
        <f>IF($A128="", "", 'Hareket Girişi'!C130)</f>
        <v/>
      </c>
      <c r="D128" s="27">
        <f>IF($A128="", "", 'Hareket Girişi'!D130)</f>
        <v/>
      </c>
      <c r="E128" s="27">
        <f>IF($A128="", "", 'Hareket Girişi'!E130)</f>
        <v/>
      </c>
      <c r="F128" s="27">
        <f>IF($A128="", "", D128-E128)</f>
        <v/>
      </c>
    </row>
    <row r="129">
      <c r="A129" s="11">
        <f>IF('Hareket Girişi'!F131=1,'Hareket Girişi'!A131,"")</f>
        <v/>
      </c>
      <c r="B129">
        <f>IF($A129="", "", 'Hareket Girişi'!B131)</f>
        <v/>
      </c>
      <c r="C129">
        <f>IF($A129="", "", 'Hareket Girişi'!C131)</f>
        <v/>
      </c>
      <c r="D129" s="27">
        <f>IF($A129="", "", 'Hareket Girişi'!D131)</f>
        <v/>
      </c>
      <c r="E129" s="27">
        <f>IF($A129="", "", 'Hareket Girişi'!E131)</f>
        <v/>
      </c>
      <c r="F129" s="27">
        <f>IF($A129="", "", D129-E129)</f>
        <v/>
      </c>
    </row>
    <row r="130">
      <c r="A130" s="11">
        <f>IF('Hareket Girişi'!F132=1,'Hareket Girişi'!A132,"")</f>
        <v/>
      </c>
      <c r="B130">
        <f>IF($A130="", "", 'Hareket Girişi'!B132)</f>
        <v/>
      </c>
      <c r="C130">
        <f>IF($A130="", "", 'Hareket Girişi'!C132)</f>
        <v/>
      </c>
      <c r="D130" s="27">
        <f>IF($A130="", "", 'Hareket Girişi'!D132)</f>
        <v/>
      </c>
      <c r="E130" s="27">
        <f>IF($A130="", "", 'Hareket Girişi'!E132)</f>
        <v/>
      </c>
      <c r="F130" s="27">
        <f>IF($A130="", "", D130-E130)</f>
        <v/>
      </c>
    </row>
    <row r="131">
      <c r="A131" s="11">
        <f>IF('Hareket Girişi'!F133=1,'Hareket Girişi'!A133,"")</f>
        <v/>
      </c>
      <c r="B131">
        <f>IF($A131="", "", 'Hareket Girişi'!B133)</f>
        <v/>
      </c>
      <c r="C131">
        <f>IF($A131="", "", 'Hareket Girişi'!C133)</f>
        <v/>
      </c>
      <c r="D131" s="27">
        <f>IF($A131="", "", 'Hareket Girişi'!D133)</f>
        <v/>
      </c>
      <c r="E131" s="27">
        <f>IF($A131="", "", 'Hareket Girişi'!E133)</f>
        <v/>
      </c>
      <c r="F131" s="27">
        <f>IF($A131="", "", D131-E131)</f>
        <v/>
      </c>
    </row>
    <row r="132">
      <c r="A132" s="11">
        <f>IF('Hareket Girişi'!F134=1,'Hareket Girişi'!A134,"")</f>
        <v/>
      </c>
      <c r="B132">
        <f>IF($A132="", "", 'Hareket Girişi'!B134)</f>
        <v/>
      </c>
      <c r="C132">
        <f>IF($A132="", "", 'Hareket Girişi'!C134)</f>
        <v/>
      </c>
      <c r="D132" s="27">
        <f>IF($A132="", "", 'Hareket Girişi'!D134)</f>
        <v/>
      </c>
      <c r="E132" s="27">
        <f>IF($A132="", "", 'Hareket Girişi'!E134)</f>
        <v/>
      </c>
      <c r="F132" s="27">
        <f>IF($A132="", "", D132-E132)</f>
        <v/>
      </c>
    </row>
    <row r="133">
      <c r="A133" s="11">
        <f>IF('Hareket Girişi'!F135=1,'Hareket Girişi'!A135,"")</f>
        <v/>
      </c>
      <c r="B133">
        <f>IF($A133="", "", 'Hareket Girişi'!B135)</f>
        <v/>
      </c>
      <c r="C133">
        <f>IF($A133="", "", 'Hareket Girişi'!C135)</f>
        <v/>
      </c>
      <c r="D133" s="27">
        <f>IF($A133="", "", 'Hareket Girişi'!D135)</f>
        <v/>
      </c>
      <c r="E133" s="27">
        <f>IF($A133="", "", 'Hareket Girişi'!E135)</f>
        <v/>
      </c>
      <c r="F133" s="27">
        <f>IF($A133="", "", D133-E133)</f>
        <v/>
      </c>
    </row>
    <row r="134">
      <c r="A134" s="11">
        <f>IF('Hareket Girişi'!F136=1,'Hareket Girişi'!A136,"")</f>
        <v/>
      </c>
      <c r="B134">
        <f>IF($A134="", "", 'Hareket Girişi'!B136)</f>
        <v/>
      </c>
      <c r="C134">
        <f>IF($A134="", "", 'Hareket Girişi'!C136)</f>
        <v/>
      </c>
      <c r="D134" s="27">
        <f>IF($A134="", "", 'Hareket Girişi'!D136)</f>
        <v/>
      </c>
      <c r="E134" s="27">
        <f>IF($A134="", "", 'Hareket Girişi'!E136)</f>
        <v/>
      </c>
      <c r="F134" s="27">
        <f>IF($A134="", "", D134-E134)</f>
        <v/>
      </c>
    </row>
    <row r="135">
      <c r="A135" s="11">
        <f>IF('Hareket Girişi'!F137=1,'Hareket Girişi'!A137,"")</f>
        <v/>
      </c>
      <c r="B135">
        <f>IF($A135="", "", 'Hareket Girişi'!B137)</f>
        <v/>
      </c>
      <c r="C135">
        <f>IF($A135="", "", 'Hareket Girişi'!C137)</f>
        <v/>
      </c>
      <c r="D135" s="27">
        <f>IF($A135="", "", 'Hareket Girişi'!D137)</f>
        <v/>
      </c>
      <c r="E135" s="27">
        <f>IF($A135="", "", 'Hareket Girişi'!E137)</f>
        <v/>
      </c>
      <c r="F135" s="27">
        <f>IF($A135="", "", D135-E135)</f>
        <v/>
      </c>
    </row>
    <row r="136">
      <c r="A136" s="11">
        <f>IF('Hareket Girişi'!F138=1,'Hareket Girişi'!A138,"")</f>
        <v/>
      </c>
      <c r="B136">
        <f>IF($A136="", "", 'Hareket Girişi'!B138)</f>
        <v/>
      </c>
      <c r="C136">
        <f>IF($A136="", "", 'Hareket Girişi'!C138)</f>
        <v/>
      </c>
      <c r="D136" s="27">
        <f>IF($A136="", "", 'Hareket Girişi'!D138)</f>
        <v/>
      </c>
      <c r="E136" s="27">
        <f>IF($A136="", "", 'Hareket Girişi'!E138)</f>
        <v/>
      </c>
      <c r="F136" s="27">
        <f>IF($A136="", "", D136-E136)</f>
        <v/>
      </c>
    </row>
    <row r="137">
      <c r="A137" s="11">
        <f>IF('Hareket Girişi'!F139=1,'Hareket Girişi'!A139,"")</f>
        <v/>
      </c>
      <c r="B137">
        <f>IF($A137="", "", 'Hareket Girişi'!B139)</f>
        <v/>
      </c>
      <c r="C137">
        <f>IF($A137="", "", 'Hareket Girişi'!C139)</f>
        <v/>
      </c>
      <c r="D137" s="27">
        <f>IF($A137="", "", 'Hareket Girişi'!D139)</f>
        <v/>
      </c>
      <c r="E137" s="27">
        <f>IF($A137="", "", 'Hareket Girişi'!E139)</f>
        <v/>
      </c>
      <c r="F137" s="27">
        <f>IF($A137="", "", D137-E137)</f>
        <v/>
      </c>
    </row>
    <row r="138">
      <c r="A138" s="11">
        <f>IF('Hareket Girişi'!F140=1,'Hareket Girişi'!A140,"")</f>
        <v/>
      </c>
      <c r="B138">
        <f>IF($A138="", "", 'Hareket Girişi'!B140)</f>
        <v/>
      </c>
      <c r="C138">
        <f>IF($A138="", "", 'Hareket Girişi'!C140)</f>
        <v/>
      </c>
      <c r="D138" s="27">
        <f>IF($A138="", "", 'Hareket Girişi'!D140)</f>
        <v/>
      </c>
      <c r="E138" s="27">
        <f>IF($A138="", "", 'Hareket Girişi'!E140)</f>
        <v/>
      </c>
      <c r="F138" s="27">
        <f>IF($A138="", "", D138-E138)</f>
        <v/>
      </c>
    </row>
    <row r="139">
      <c r="A139" s="11">
        <f>IF('Hareket Girişi'!F141=1,'Hareket Girişi'!A141,"")</f>
        <v/>
      </c>
      <c r="B139">
        <f>IF($A139="", "", 'Hareket Girişi'!B141)</f>
        <v/>
      </c>
      <c r="C139">
        <f>IF($A139="", "", 'Hareket Girişi'!C141)</f>
        <v/>
      </c>
      <c r="D139" s="27">
        <f>IF($A139="", "", 'Hareket Girişi'!D141)</f>
        <v/>
      </c>
      <c r="E139" s="27">
        <f>IF($A139="", "", 'Hareket Girişi'!E141)</f>
        <v/>
      </c>
      <c r="F139" s="27">
        <f>IF($A139="", "", D139-E139)</f>
        <v/>
      </c>
    </row>
    <row r="140">
      <c r="A140" s="11">
        <f>IF('Hareket Girişi'!F142=1,'Hareket Girişi'!A142,"")</f>
        <v/>
      </c>
      <c r="B140">
        <f>IF($A140="", "", 'Hareket Girişi'!B142)</f>
        <v/>
      </c>
      <c r="C140">
        <f>IF($A140="", "", 'Hareket Girişi'!C142)</f>
        <v/>
      </c>
      <c r="D140" s="27">
        <f>IF($A140="", "", 'Hareket Girişi'!D142)</f>
        <v/>
      </c>
      <c r="E140" s="27">
        <f>IF($A140="", "", 'Hareket Girişi'!E142)</f>
        <v/>
      </c>
      <c r="F140" s="27">
        <f>IF($A140="", "", D140-E140)</f>
        <v/>
      </c>
    </row>
    <row r="141">
      <c r="A141" s="11">
        <f>IF('Hareket Girişi'!F143=1,'Hareket Girişi'!A143,"")</f>
        <v/>
      </c>
      <c r="B141">
        <f>IF($A141="", "", 'Hareket Girişi'!B143)</f>
        <v/>
      </c>
      <c r="C141">
        <f>IF($A141="", "", 'Hareket Girişi'!C143)</f>
        <v/>
      </c>
      <c r="D141" s="27">
        <f>IF($A141="", "", 'Hareket Girişi'!D143)</f>
        <v/>
      </c>
      <c r="E141" s="27">
        <f>IF($A141="", "", 'Hareket Girişi'!E143)</f>
        <v/>
      </c>
      <c r="F141" s="27">
        <f>IF($A141="", "", D141-E141)</f>
        <v/>
      </c>
    </row>
    <row r="142">
      <c r="A142" s="11">
        <f>IF('Hareket Girişi'!F144=1,'Hareket Girişi'!A144,"")</f>
        <v/>
      </c>
      <c r="B142">
        <f>IF($A142="", "", 'Hareket Girişi'!B144)</f>
        <v/>
      </c>
      <c r="C142">
        <f>IF($A142="", "", 'Hareket Girişi'!C144)</f>
        <v/>
      </c>
      <c r="D142" s="27">
        <f>IF($A142="", "", 'Hareket Girişi'!D144)</f>
        <v/>
      </c>
      <c r="E142" s="27">
        <f>IF($A142="", "", 'Hareket Girişi'!E144)</f>
        <v/>
      </c>
      <c r="F142" s="27">
        <f>IF($A142="", "", D142-E142)</f>
        <v/>
      </c>
    </row>
    <row r="143">
      <c r="A143" s="11">
        <f>IF('Hareket Girişi'!F145=1,'Hareket Girişi'!A145,"")</f>
        <v/>
      </c>
      <c r="B143">
        <f>IF($A143="", "", 'Hareket Girişi'!B145)</f>
        <v/>
      </c>
      <c r="C143">
        <f>IF($A143="", "", 'Hareket Girişi'!C145)</f>
        <v/>
      </c>
      <c r="D143" s="27">
        <f>IF($A143="", "", 'Hareket Girişi'!D145)</f>
        <v/>
      </c>
      <c r="E143" s="27">
        <f>IF($A143="", "", 'Hareket Girişi'!E145)</f>
        <v/>
      </c>
      <c r="F143" s="27">
        <f>IF($A143="", "", D143-E143)</f>
        <v/>
      </c>
    </row>
    <row r="144">
      <c r="A144" s="11">
        <f>IF('Hareket Girişi'!F146=1,'Hareket Girişi'!A146,"")</f>
        <v/>
      </c>
      <c r="B144">
        <f>IF($A144="", "", 'Hareket Girişi'!B146)</f>
        <v/>
      </c>
      <c r="C144">
        <f>IF($A144="", "", 'Hareket Girişi'!C146)</f>
        <v/>
      </c>
      <c r="D144" s="27">
        <f>IF($A144="", "", 'Hareket Girişi'!D146)</f>
        <v/>
      </c>
      <c r="E144" s="27">
        <f>IF($A144="", "", 'Hareket Girişi'!E146)</f>
        <v/>
      </c>
      <c r="F144" s="27">
        <f>IF($A144="", "", D144-E144)</f>
        <v/>
      </c>
    </row>
    <row r="145">
      <c r="A145" s="11">
        <f>IF('Hareket Girişi'!F147=1,'Hareket Girişi'!A147,"")</f>
        <v/>
      </c>
      <c r="B145">
        <f>IF($A145="", "", 'Hareket Girişi'!B147)</f>
        <v/>
      </c>
      <c r="C145">
        <f>IF($A145="", "", 'Hareket Girişi'!C147)</f>
        <v/>
      </c>
      <c r="D145" s="27">
        <f>IF($A145="", "", 'Hareket Girişi'!D147)</f>
        <v/>
      </c>
      <c r="E145" s="27">
        <f>IF($A145="", "", 'Hareket Girişi'!E147)</f>
        <v/>
      </c>
      <c r="F145" s="27">
        <f>IF($A145="", "", D145-E145)</f>
        <v/>
      </c>
    </row>
    <row r="146">
      <c r="A146" s="11">
        <f>IF('Hareket Girişi'!F148=1,'Hareket Girişi'!A148,"")</f>
        <v/>
      </c>
      <c r="B146">
        <f>IF($A146="", "", 'Hareket Girişi'!B148)</f>
        <v/>
      </c>
      <c r="C146">
        <f>IF($A146="", "", 'Hareket Girişi'!C148)</f>
        <v/>
      </c>
      <c r="D146" s="27">
        <f>IF($A146="", "", 'Hareket Girişi'!D148)</f>
        <v/>
      </c>
      <c r="E146" s="27">
        <f>IF($A146="", "", 'Hareket Girişi'!E148)</f>
        <v/>
      </c>
      <c r="F146" s="27">
        <f>IF($A146="", "", D146-E146)</f>
        <v/>
      </c>
    </row>
    <row r="147">
      <c r="A147" s="11">
        <f>IF('Hareket Girişi'!F149=1,'Hareket Girişi'!A149,"")</f>
        <v/>
      </c>
      <c r="B147">
        <f>IF($A147="", "", 'Hareket Girişi'!B149)</f>
        <v/>
      </c>
      <c r="C147">
        <f>IF($A147="", "", 'Hareket Girişi'!C149)</f>
        <v/>
      </c>
      <c r="D147" s="27">
        <f>IF($A147="", "", 'Hareket Girişi'!D149)</f>
        <v/>
      </c>
      <c r="E147" s="27">
        <f>IF($A147="", "", 'Hareket Girişi'!E149)</f>
        <v/>
      </c>
      <c r="F147" s="27">
        <f>IF($A147="", "", D147-E147)</f>
        <v/>
      </c>
    </row>
    <row r="148">
      <c r="A148" s="11">
        <f>IF('Hareket Girişi'!F150=1,'Hareket Girişi'!A150,"")</f>
        <v/>
      </c>
      <c r="B148">
        <f>IF($A148="", "", 'Hareket Girişi'!B150)</f>
        <v/>
      </c>
      <c r="C148">
        <f>IF($A148="", "", 'Hareket Girişi'!C150)</f>
        <v/>
      </c>
      <c r="D148" s="27">
        <f>IF($A148="", "", 'Hareket Girişi'!D150)</f>
        <v/>
      </c>
      <c r="E148" s="27">
        <f>IF($A148="", "", 'Hareket Girişi'!E150)</f>
        <v/>
      </c>
      <c r="F148" s="27">
        <f>IF($A148="", "", D148-E148)</f>
        <v/>
      </c>
    </row>
    <row r="149">
      <c r="A149" s="11">
        <f>IF('Hareket Girişi'!F151=1,'Hareket Girişi'!A151,"")</f>
        <v/>
      </c>
      <c r="B149">
        <f>IF($A149="", "", 'Hareket Girişi'!B151)</f>
        <v/>
      </c>
      <c r="C149">
        <f>IF($A149="", "", 'Hareket Girişi'!C151)</f>
        <v/>
      </c>
      <c r="D149" s="27">
        <f>IF($A149="", "", 'Hareket Girişi'!D151)</f>
        <v/>
      </c>
      <c r="E149" s="27">
        <f>IF($A149="", "", 'Hareket Girişi'!E151)</f>
        <v/>
      </c>
      <c r="F149" s="27">
        <f>IF($A149="", "", D149-E149)</f>
        <v/>
      </c>
    </row>
    <row r="150">
      <c r="A150" s="11">
        <f>IF('Hareket Girişi'!F152=1,'Hareket Girişi'!A152,"")</f>
        <v/>
      </c>
      <c r="B150">
        <f>IF($A150="", "", 'Hareket Girişi'!B152)</f>
        <v/>
      </c>
      <c r="C150">
        <f>IF($A150="", "", 'Hareket Girişi'!C152)</f>
        <v/>
      </c>
      <c r="D150" s="27">
        <f>IF($A150="", "", 'Hareket Girişi'!D152)</f>
        <v/>
      </c>
      <c r="E150" s="27">
        <f>IF($A150="", "", 'Hareket Girişi'!E152)</f>
        <v/>
      </c>
      <c r="F150" s="27">
        <f>IF($A150="", "", D150-E150)</f>
        <v/>
      </c>
    </row>
    <row r="151">
      <c r="A151" s="11">
        <f>IF('Hareket Girişi'!F153=1,'Hareket Girişi'!A153,"")</f>
        <v/>
      </c>
      <c r="B151">
        <f>IF($A151="", "", 'Hareket Girişi'!B153)</f>
        <v/>
      </c>
      <c r="C151">
        <f>IF($A151="", "", 'Hareket Girişi'!C153)</f>
        <v/>
      </c>
      <c r="D151" s="27">
        <f>IF($A151="", "", 'Hareket Girişi'!D153)</f>
        <v/>
      </c>
      <c r="E151" s="27">
        <f>IF($A151="", "", 'Hareket Girişi'!E153)</f>
        <v/>
      </c>
      <c r="F151" s="27">
        <f>IF($A151="", "", D151-E151)</f>
        <v/>
      </c>
    </row>
    <row r="152">
      <c r="A152" s="11">
        <f>IF('Hareket Girişi'!F154=1,'Hareket Girişi'!A154,"")</f>
        <v/>
      </c>
      <c r="B152">
        <f>IF($A152="", "", 'Hareket Girişi'!B154)</f>
        <v/>
      </c>
      <c r="C152">
        <f>IF($A152="", "", 'Hareket Girişi'!C154)</f>
        <v/>
      </c>
      <c r="D152" s="27">
        <f>IF($A152="", "", 'Hareket Girişi'!D154)</f>
        <v/>
      </c>
      <c r="E152" s="27">
        <f>IF($A152="", "", 'Hareket Girişi'!E154)</f>
        <v/>
      </c>
      <c r="F152" s="27">
        <f>IF($A152="", "", D152-E152)</f>
        <v/>
      </c>
    </row>
    <row r="153">
      <c r="A153" s="11">
        <f>IF('Hareket Girişi'!F155=1,'Hareket Girişi'!A155,"")</f>
        <v/>
      </c>
      <c r="B153">
        <f>IF($A153="", "", 'Hareket Girişi'!B155)</f>
        <v/>
      </c>
      <c r="C153">
        <f>IF($A153="", "", 'Hareket Girişi'!C155)</f>
        <v/>
      </c>
      <c r="D153" s="27">
        <f>IF($A153="", "", 'Hareket Girişi'!D155)</f>
        <v/>
      </c>
      <c r="E153" s="27">
        <f>IF($A153="", "", 'Hareket Girişi'!E155)</f>
        <v/>
      </c>
      <c r="F153" s="27">
        <f>IF($A153="", "", D153-E153)</f>
        <v/>
      </c>
    </row>
    <row r="154">
      <c r="A154" s="11">
        <f>IF('Hareket Girişi'!F156=1,'Hareket Girişi'!A156,"")</f>
        <v/>
      </c>
      <c r="B154">
        <f>IF($A154="", "", 'Hareket Girişi'!B156)</f>
        <v/>
      </c>
      <c r="C154">
        <f>IF($A154="", "", 'Hareket Girişi'!C156)</f>
        <v/>
      </c>
      <c r="D154" s="27">
        <f>IF($A154="", "", 'Hareket Girişi'!D156)</f>
        <v/>
      </c>
      <c r="E154" s="27">
        <f>IF($A154="", "", 'Hareket Girişi'!E156)</f>
        <v/>
      </c>
      <c r="F154" s="27">
        <f>IF($A154="", "", D154-E154)</f>
        <v/>
      </c>
    </row>
    <row r="155">
      <c r="A155" s="11">
        <f>IF('Hareket Girişi'!F157=1,'Hareket Girişi'!A157,"")</f>
        <v/>
      </c>
      <c r="B155">
        <f>IF($A155="", "", 'Hareket Girişi'!B157)</f>
        <v/>
      </c>
      <c r="C155">
        <f>IF($A155="", "", 'Hareket Girişi'!C157)</f>
        <v/>
      </c>
      <c r="D155" s="27">
        <f>IF($A155="", "", 'Hareket Girişi'!D157)</f>
        <v/>
      </c>
      <c r="E155" s="27">
        <f>IF($A155="", "", 'Hareket Girişi'!E157)</f>
        <v/>
      </c>
      <c r="F155" s="27">
        <f>IF($A155="", "", D155-E155)</f>
        <v/>
      </c>
    </row>
    <row r="156">
      <c r="A156" s="11">
        <f>IF('Hareket Girişi'!F158=1,'Hareket Girişi'!A158,"")</f>
        <v/>
      </c>
      <c r="B156">
        <f>IF($A156="", "", 'Hareket Girişi'!B158)</f>
        <v/>
      </c>
      <c r="C156">
        <f>IF($A156="", "", 'Hareket Girişi'!C158)</f>
        <v/>
      </c>
      <c r="D156" s="27">
        <f>IF($A156="", "", 'Hareket Girişi'!D158)</f>
        <v/>
      </c>
      <c r="E156" s="27">
        <f>IF($A156="", "", 'Hareket Girişi'!E158)</f>
        <v/>
      </c>
      <c r="F156" s="27">
        <f>IF($A156="", "", D156-E156)</f>
        <v/>
      </c>
    </row>
    <row r="157">
      <c r="A157" s="11">
        <f>IF('Hareket Girişi'!F159=1,'Hareket Girişi'!A159,"")</f>
        <v/>
      </c>
      <c r="B157">
        <f>IF($A157="", "", 'Hareket Girişi'!B159)</f>
        <v/>
      </c>
      <c r="C157">
        <f>IF($A157="", "", 'Hareket Girişi'!C159)</f>
        <v/>
      </c>
      <c r="D157" s="27">
        <f>IF($A157="", "", 'Hareket Girişi'!D159)</f>
        <v/>
      </c>
      <c r="E157" s="27">
        <f>IF($A157="", "", 'Hareket Girişi'!E159)</f>
        <v/>
      </c>
      <c r="F157" s="27">
        <f>IF($A157="", "", D157-E157)</f>
        <v/>
      </c>
    </row>
    <row r="158">
      <c r="A158" s="11">
        <f>IF('Hareket Girişi'!F160=1,'Hareket Girişi'!A160,"")</f>
        <v/>
      </c>
      <c r="B158">
        <f>IF($A158="", "", 'Hareket Girişi'!B160)</f>
        <v/>
      </c>
      <c r="C158">
        <f>IF($A158="", "", 'Hareket Girişi'!C160)</f>
        <v/>
      </c>
      <c r="D158" s="27">
        <f>IF($A158="", "", 'Hareket Girişi'!D160)</f>
        <v/>
      </c>
      <c r="E158" s="27">
        <f>IF($A158="", "", 'Hareket Girişi'!E160)</f>
        <v/>
      </c>
      <c r="F158" s="27">
        <f>IF($A158="", "", D158-E158)</f>
        <v/>
      </c>
    </row>
    <row r="159">
      <c r="A159" s="11">
        <f>IF('Hareket Girişi'!F161=1,'Hareket Girişi'!A161,"")</f>
        <v/>
      </c>
      <c r="B159">
        <f>IF($A159="", "", 'Hareket Girişi'!B161)</f>
        <v/>
      </c>
      <c r="C159">
        <f>IF($A159="", "", 'Hareket Girişi'!C161)</f>
        <v/>
      </c>
      <c r="D159" s="27">
        <f>IF($A159="", "", 'Hareket Girişi'!D161)</f>
        <v/>
      </c>
      <c r="E159" s="27">
        <f>IF($A159="", "", 'Hareket Girişi'!E161)</f>
        <v/>
      </c>
      <c r="F159" s="27">
        <f>IF($A159="", "", D159-E159)</f>
        <v/>
      </c>
    </row>
    <row r="160">
      <c r="A160" s="11">
        <f>IF('Hareket Girişi'!F162=1,'Hareket Girişi'!A162,"")</f>
        <v/>
      </c>
      <c r="B160">
        <f>IF($A160="", "", 'Hareket Girişi'!B162)</f>
        <v/>
      </c>
      <c r="C160">
        <f>IF($A160="", "", 'Hareket Girişi'!C162)</f>
        <v/>
      </c>
      <c r="D160" s="27">
        <f>IF($A160="", "", 'Hareket Girişi'!D162)</f>
        <v/>
      </c>
      <c r="E160" s="27">
        <f>IF($A160="", "", 'Hareket Girişi'!E162)</f>
        <v/>
      </c>
      <c r="F160" s="27">
        <f>IF($A160="", "", D160-E160)</f>
        <v/>
      </c>
    </row>
    <row r="161">
      <c r="A161" s="11">
        <f>IF('Hareket Girişi'!F163=1,'Hareket Girişi'!A163,"")</f>
        <v/>
      </c>
      <c r="B161">
        <f>IF($A161="", "", 'Hareket Girişi'!B163)</f>
        <v/>
      </c>
      <c r="C161">
        <f>IF($A161="", "", 'Hareket Girişi'!C163)</f>
        <v/>
      </c>
      <c r="D161" s="27">
        <f>IF($A161="", "", 'Hareket Girişi'!D163)</f>
        <v/>
      </c>
      <c r="E161" s="27">
        <f>IF($A161="", "", 'Hareket Girişi'!E163)</f>
        <v/>
      </c>
      <c r="F161" s="27">
        <f>IF($A161="", "", D161-E161)</f>
        <v/>
      </c>
    </row>
    <row r="162">
      <c r="A162" s="11">
        <f>IF('Hareket Girişi'!F164=1,'Hareket Girişi'!A164,"")</f>
        <v/>
      </c>
      <c r="B162">
        <f>IF($A162="", "", 'Hareket Girişi'!B164)</f>
        <v/>
      </c>
      <c r="C162">
        <f>IF($A162="", "", 'Hareket Girişi'!C164)</f>
        <v/>
      </c>
      <c r="D162" s="27">
        <f>IF($A162="", "", 'Hareket Girişi'!D164)</f>
        <v/>
      </c>
      <c r="E162" s="27">
        <f>IF($A162="", "", 'Hareket Girişi'!E164)</f>
        <v/>
      </c>
      <c r="F162" s="27">
        <f>IF($A162="", "", D162-E162)</f>
        <v/>
      </c>
    </row>
    <row r="163">
      <c r="A163" s="11">
        <f>IF('Hareket Girişi'!F165=1,'Hareket Girişi'!A165,"")</f>
        <v/>
      </c>
      <c r="B163">
        <f>IF($A163="", "", 'Hareket Girişi'!B165)</f>
        <v/>
      </c>
      <c r="C163">
        <f>IF($A163="", "", 'Hareket Girişi'!C165)</f>
        <v/>
      </c>
      <c r="D163" s="27">
        <f>IF($A163="", "", 'Hareket Girişi'!D165)</f>
        <v/>
      </c>
      <c r="E163" s="27">
        <f>IF($A163="", "", 'Hareket Girişi'!E165)</f>
        <v/>
      </c>
      <c r="F163" s="27">
        <f>IF($A163="", "", D163-E163)</f>
        <v/>
      </c>
    </row>
    <row r="164">
      <c r="A164" s="11">
        <f>IF('Hareket Girişi'!F166=1,'Hareket Girişi'!A166,"")</f>
        <v/>
      </c>
      <c r="B164">
        <f>IF($A164="", "", 'Hareket Girişi'!B166)</f>
        <v/>
      </c>
      <c r="C164">
        <f>IF($A164="", "", 'Hareket Girişi'!C166)</f>
        <v/>
      </c>
      <c r="D164" s="27">
        <f>IF($A164="", "", 'Hareket Girişi'!D166)</f>
        <v/>
      </c>
      <c r="E164" s="27">
        <f>IF($A164="", "", 'Hareket Girişi'!E166)</f>
        <v/>
      </c>
      <c r="F164" s="27">
        <f>IF($A164="", "", D164-E164)</f>
        <v/>
      </c>
    </row>
    <row r="165">
      <c r="A165" s="11">
        <f>IF('Hareket Girişi'!F167=1,'Hareket Girişi'!A167,"")</f>
        <v/>
      </c>
      <c r="B165">
        <f>IF($A165="", "", 'Hareket Girişi'!B167)</f>
        <v/>
      </c>
      <c r="C165">
        <f>IF($A165="", "", 'Hareket Girişi'!C167)</f>
        <v/>
      </c>
      <c r="D165" s="27">
        <f>IF($A165="", "", 'Hareket Girişi'!D167)</f>
        <v/>
      </c>
      <c r="E165" s="27">
        <f>IF($A165="", "", 'Hareket Girişi'!E167)</f>
        <v/>
      </c>
      <c r="F165" s="27">
        <f>IF($A165="", "", D165-E165)</f>
        <v/>
      </c>
    </row>
    <row r="166">
      <c r="A166" s="11">
        <f>IF('Hareket Girişi'!F168=1,'Hareket Girişi'!A168,"")</f>
        <v/>
      </c>
      <c r="B166">
        <f>IF($A166="", "", 'Hareket Girişi'!B168)</f>
        <v/>
      </c>
      <c r="C166">
        <f>IF($A166="", "", 'Hareket Girişi'!C168)</f>
        <v/>
      </c>
      <c r="D166" s="27">
        <f>IF($A166="", "", 'Hareket Girişi'!D168)</f>
        <v/>
      </c>
      <c r="E166" s="27">
        <f>IF($A166="", "", 'Hareket Girişi'!E168)</f>
        <v/>
      </c>
      <c r="F166" s="27">
        <f>IF($A166="", "", D166-E166)</f>
        <v/>
      </c>
    </row>
    <row r="167">
      <c r="A167" s="11">
        <f>IF('Hareket Girişi'!F169=1,'Hareket Girişi'!A169,"")</f>
        <v/>
      </c>
      <c r="B167">
        <f>IF($A167="", "", 'Hareket Girişi'!B169)</f>
        <v/>
      </c>
      <c r="C167">
        <f>IF($A167="", "", 'Hareket Girişi'!C169)</f>
        <v/>
      </c>
      <c r="D167" s="27">
        <f>IF($A167="", "", 'Hareket Girişi'!D169)</f>
        <v/>
      </c>
      <c r="E167" s="27">
        <f>IF($A167="", "", 'Hareket Girişi'!E169)</f>
        <v/>
      </c>
      <c r="F167" s="27">
        <f>IF($A167="", "", D167-E167)</f>
        <v/>
      </c>
    </row>
    <row r="168">
      <c r="A168" s="11">
        <f>IF('Hareket Girişi'!F170=1,'Hareket Girişi'!A170,"")</f>
        <v/>
      </c>
      <c r="B168">
        <f>IF($A168="", "", 'Hareket Girişi'!B170)</f>
        <v/>
      </c>
      <c r="C168">
        <f>IF($A168="", "", 'Hareket Girişi'!C170)</f>
        <v/>
      </c>
      <c r="D168" s="27">
        <f>IF($A168="", "", 'Hareket Girişi'!D170)</f>
        <v/>
      </c>
      <c r="E168" s="27">
        <f>IF($A168="", "", 'Hareket Girişi'!E170)</f>
        <v/>
      </c>
      <c r="F168" s="27">
        <f>IF($A168="", "", D168-E168)</f>
        <v/>
      </c>
    </row>
    <row r="169">
      <c r="A169" s="11">
        <f>IF('Hareket Girişi'!F171=1,'Hareket Girişi'!A171,"")</f>
        <v/>
      </c>
      <c r="B169">
        <f>IF($A169="", "", 'Hareket Girişi'!B171)</f>
        <v/>
      </c>
      <c r="C169">
        <f>IF($A169="", "", 'Hareket Girişi'!C171)</f>
        <v/>
      </c>
      <c r="D169" s="27">
        <f>IF($A169="", "", 'Hareket Girişi'!D171)</f>
        <v/>
      </c>
      <c r="E169" s="27">
        <f>IF($A169="", "", 'Hareket Girişi'!E171)</f>
        <v/>
      </c>
      <c r="F169" s="27">
        <f>IF($A169="", "", D169-E169)</f>
        <v/>
      </c>
    </row>
    <row r="170">
      <c r="A170" s="11">
        <f>IF('Hareket Girişi'!F172=1,'Hareket Girişi'!A172,"")</f>
        <v/>
      </c>
      <c r="B170">
        <f>IF($A170="", "", 'Hareket Girişi'!B172)</f>
        <v/>
      </c>
      <c r="C170">
        <f>IF($A170="", "", 'Hareket Girişi'!C172)</f>
        <v/>
      </c>
      <c r="D170" s="27">
        <f>IF($A170="", "", 'Hareket Girişi'!D172)</f>
        <v/>
      </c>
      <c r="E170" s="27">
        <f>IF($A170="", "", 'Hareket Girişi'!E172)</f>
        <v/>
      </c>
      <c r="F170" s="27">
        <f>IF($A170="", "", D170-E170)</f>
        <v/>
      </c>
    </row>
    <row r="171">
      <c r="A171" s="11">
        <f>IF('Hareket Girişi'!F173=1,'Hareket Girişi'!A173,"")</f>
        <v/>
      </c>
      <c r="B171">
        <f>IF($A171="", "", 'Hareket Girişi'!B173)</f>
        <v/>
      </c>
      <c r="C171">
        <f>IF($A171="", "", 'Hareket Girişi'!C173)</f>
        <v/>
      </c>
      <c r="D171" s="27">
        <f>IF($A171="", "", 'Hareket Girişi'!D173)</f>
        <v/>
      </c>
      <c r="E171" s="27">
        <f>IF($A171="", "", 'Hareket Girişi'!E173)</f>
        <v/>
      </c>
      <c r="F171" s="27">
        <f>IF($A171="", "", D171-E171)</f>
        <v/>
      </c>
    </row>
    <row r="172">
      <c r="A172" s="11">
        <f>IF('Hareket Girişi'!F174=1,'Hareket Girişi'!A174,"")</f>
        <v/>
      </c>
      <c r="B172">
        <f>IF($A172="", "", 'Hareket Girişi'!B174)</f>
        <v/>
      </c>
      <c r="C172">
        <f>IF($A172="", "", 'Hareket Girişi'!C174)</f>
        <v/>
      </c>
      <c r="D172" s="27">
        <f>IF($A172="", "", 'Hareket Girişi'!D174)</f>
        <v/>
      </c>
      <c r="E172" s="27">
        <f>IF($A172="", "", 'Hareket Girişi'!E174)</f>
        <v/>
      </c>
      <c r="F172" s="27">
        <f>IF($A172="", "", D172-E172)</f>
        <v/>
      </c>
    </row>
    <row r="173">
      <c r="A173" s="11">
        <f>IF('Hareket Girişi'!F175=1,'Hareket Girişi'!A175,"")</f>
        <v/>
      </c>
      <c r="B173">
        <f>IF($A173="", "", 'Hareket Girişi'!B175)</f>
        <v/>
      </c>
      <c r="C173">
        <f>IF($A173="", "", 'Hareket Girişi'!C175)</f>
        <v/>
      </c>
      <c r="D173" s="27">
        <f>IF($A173="", "", 'Hareket Girişi'!D175)</f>
        <v/>
      </c>
      <c r="E173" s="27">
        <f>IF($A173="", "", 'Hareket Girişi'!E175)</f>
        <v/>
      </c>
      <c r="F173" s="27">
        <f>IF($A173="", "", D173-E173)</f>
        <v/>
      </c>
    </row>
    <row r="174">
      <c r="A174" s="11">
        <f>IF('Hareket Girişi'!F176=1,'Hareket Girişi'!A176,"")</f>
        <v/>
      </c>
      <c r="B174">
        <f>IF($A174="", "", 'Hareket Girişi'!B176)</f>
        <v/>
      </c>
      <c r="C174">
        <f>IF($A174="", "", 'Hareket Girişi'!C176)</f>
        <v/>
      </c>
      <c r="D174" s="27">
        <f>IF($A174="", "", 'Hareket Girişi'!D176)</f>
        <v/>
      </c>
      <c r="E174" s="27">
        <f>IF($A174="", "", 'Hareket Girişi'!E176)</f>
        <v/>
      </c>
      <c r="F174" s="27">
        <f>IF($A174="", "", D174-E174)</f>
        <v/>
      </c>
    </row>
    <row r="175">
      <c r="A175" s="11">
        <f>IF('Hareket Girişi'!F177=1,'Hareket Girişi'!A177,"")</f>
        <v/>
      </c>
      <c r="B175">
        <f>IF($A175="", "", 'Hareket Girişi'!B177)</f>
        <v/>
      </c>
      <c r="C175">
        <f>IF($A175="", "", 'Hareket Girişi'!C177)</f>
        <v/>
      </c>
      <c r="D175" s="27">
        <f>IF($A175="", "", 'Hareket Girişi'!D177)</f>
        <v/>
      </c>
      <c r="E175" s="27">
        <f>IF($A175="", "", 'Hareket Girişi'!E177)</f>
        <v/>
      </c>
      <c r="F175" s="27">
        <f>IF($A175="", "", D175-E175)</f>
        <v/>
      </c>
    </row>
    <row r="176">
      <c r="A176" s="11">
        <f>IF('Hareket Girişi'!F178=1,'Hareket Girişi'!A178,"")</f>
        <v/>
      </c>
      <c r="B176">
        <f>IF($A176="", "", 'Hareket Girişi'!B178)</f>
        <v/>
      </c>
      <c r="C176">
        <f>IF($A176="", "", 'Hareket Girişi'!C178)</f>
        <v/>
      </c>
      <c r="D176" s="27">
        <f>IF($A176="", "", 'Hareket Girişi'!D178)</f>
        <v/>
      </c>
      <c r="E176" s="27">
        <f>IF($A176="", "", 'Hareket Girişi'!E178)</f>
        <v/>
      </c>
      <c r="F176" s="27">
        <f>IF($A176="", "", D176-E176)</f>
        <v/>
      </c>
    </row>
    <row r="177">
      <c r="A177" s="11">
        <f>IF('Hareket Girişi'!F179=1,'Hareket Girişi'!A179,"")</f>
        <v/>
      </c>
      <c r="B177">
        <f>IF($A177="", "", 'Hareket Girişi'!B179)</f>
        <v/>
      </c>
      <c r="C177">
        <f>IF($A177="", "", 'Hareket Girişi'!C179)</f>
        <v/>
      </c>
      <c r="D177" s="27">
        <f>IF($A177="", "", 'Hareket Girişi'!D179)</f>
        <v/>
      </c>
      <c r="E177" s="27">
        <f>IF($A177="", "", 'Hareket Girişi'!E179)</f>
        <v/>
      </c>
      <c r="F177" s="27">
        <f>IF($A177="", "", D177-E177)</f>
        <v/>
      </c>
    </row>
    <row r="178">
      <c r="A178" s="11">
        <f>IF('Hareket Girişi'!F180=1,'Hareket Girişi'!A180,"")</f>
        <v/>
      </c>
      <c r="B178">
        <f>IF($A178="", "", 'Hareket Girişi'!B180)</f>
        <v/>
      </c>
      <c r="C178">
        <f>IF($A178="", "", 'Hareket Girişi'!C180)</f>
        <v/>
      </c>
      <c r="D178" s="27">
        <f>IF($A178="", "", 'Hareket Girişi'!D180)</f>
        <v/>
      </c>
      <c r="E178" s="27">
        <f>IF($A178="", "", 'Hareket Girişi'!E180)</f>
        <v/>
      </c>
      <c r="F178" s="27">
        <f>IF($A178="", "", D178-E178)</f>
        <v/>
      </c>
    </row>
    <row r="179">
      <c r="A179" s="11">
        <f>IF('Hareket Girişi'!F181=1,'Hareket Girişi'!A181,"")</f>
        <v/>
      </c>
      <c r="B179">
        <f>IF($A179="", "", 'Hareket Girişi'!B181)</f>
        <v/>
      </c>
      <c r="C179">
        <f>IF($A179="", "", 'Hareket Girişi'!C181)</f>
        <v/>
      </c>
      <c r="D179" s="27">
        <f>IF($A179="", "", 'Hareket Girişi'!D181)</f>
        <v/>
      </c>
      <c r="E179" s="27">
        <f>IF($A179="", "", 'Hareket Girişi'!E181)</f>
        <v/>
      </c>
      <c r="F179" s="27">
        <f>IF($A179="", "", D179-E179)</f>
        <v/>
      </c>
    </row>
    <row r="180">
      <c r="A180" s="11">
        <f>IF('Hareket Girişi'!F182=1,'Hareket Girişi'!A182,"")</f>
        <v/>
      </c>
      <c r="B180">
        <f>IF($A180="", "", 'Hareket Girişi'!B182)</f>
        <v/>
      </c>
      <c r="C180">
        <f>IF($A180="", "", 'Hareket Girişi'!C182)</f>
        <v/>
      </c>
      <c r="D180" s="27">
        <f>IF($A180="", "", 'Hareket Girişi'!D182)</f>
        <v/>
      </c>
      <c r="E180" s="27">
        <f>IF($A180="", "", 'Hareket Girişi'!E182)</f>
        <v/>
      </c>
      <c r="F180" s="27">
        <f>IF($A180="", "", D180-E180)</f>
        <v/>
      </c>
    </row>
    <row r="181">
      <c r="A181" s="11">
        <f>IF('Hareket Girişi'!F183=1,'Hareket Girişi'!A183,"")</f>
        <v/>
      </c>
      <c r="B181">
        <f>IF($A181="", "", 'Hareket Girişi'!B183)</f>
        <v/>
      </c>
      <c r="C181">
        <f>IF($A181="", "", 'Hareket Girişi'!C183)</f>
        <v/>
      </c>
      <c r="D181" s="27">
        <f>IF($A181="", "", 'Hareket Girişi'!D183)</f>
        <v/>
      </c>
      <c r="E181" s="27">
        <f>IF($A181="", "", 'Hareket Girişi'!E183)</f>
        <v/>
      </c>
      <c r="F181" s="27">
        <f>IF($A181="", "", D181-E181)</f>
        <v/>
      </c>
    </row>
    <row r="182">
      <c r="A182" s="11">
        <f>IF('Hareket Girişi'!F184=1,'Hareket Girişi'!A184,"")</f>
        <v/>
      </c>
      <c r="B182">
        <f>IF($A182="", "", 'Hareket Girişi'!B184)</f>
        <v/>
      </c>
      <c r="C182">
        <f>IF($A182="", "", 'Hareket Girişi'!C184)</f>
        <v/>
      </c>
      <c r="D182" s="27">
        <f>IF($A182="", "", 'Hareket Girişi'!D184)</f>
        <v/>
      </c>
      <c r="E182" s="27">
        <f>IF($A182="", "", 'Hareket Girişi'!E184)</f>
        <v/>
      </c>
      <c r="F182" s="27">
        <f>IF($A182="", "", D182-E182)</f>
        <v/>
      </c>
    </row>
    <row r="183">
      <c r="A183" s="11">
        <f>IF('Hareket Girişi'!F185=1,'Hareket Girişi'!A185,"")</f>
        <v/>
      </c>
      <c r="B183">
        <f>IF($A183="", "", 'Hareket Girişi'!B185)</f>
        <v/>
      </c>
      <c r="C183">
        <f>IF($A183="", "", 'Hareket Girişi'!C185)</f>
        <v/>
      </c>
      <c r="D183" s="27">
        <f>IF($A183="", "", 'Hareket Girişi'!D185)</f>
        <v/>
      </c>
      <c r="E183" s="27">
        <f>IF($A183="", "", 'Hareket Girişi'!E185)</f>
        <v/>
      </c>
      <c r="F183" s="27">
        <f>IF($A183="", "", D183-E183)</f>
        <v/>
      </c>
    </row>
    <row r="184">
      <c r="A184" s="11">
        <f>IF('Hareket Girişi'!F186=1,'Hareket Girişi'!A186,"")</f>
        <v/>
      </c>
      <c r="B184">
        <f>IF($A184="", "", 'Hareket Girişi'!B186)</f>
        <v/>
      </c>
      <c r="C184">
        <f>IF($A184="", "", 'Hareket Girişi'!C186)</f>
        <v/>
      </c>
      <c r="D184" s="27">
        <f>IF($A184="", "", 'Hareket Girişi'!D186)</f>
        <v/>
      </c>
      <c r="E184" s="27">
        <f>IF($A184="", "", 'Hareket Girişi'!E186)</f>
        <v/>
      </c>
      <c r="F184" s="27">
        <f>IF($A184="", "", D184-E184)</f>
        <v/>
      </c>
    </row>
    <row r="185">
      <c r="A185" s="11">
        <f>IF('Hareket Girişi'!F187=1,'Hareket Girişi'!A187,"")</f>
        <v/>
      </c>
      <c r="B185">
        <f>IF($A185="", "", 'Hareket Girişi'!B187)</f>
        <v/>
      </c>
      <c r="C185">
        <f>IF($A185="", "", 'Hareket Girişi'!C187)</f>
        <v/>
      </c>
      <c r="D185" s="27">
        <f>IF($A185="", "", 'Hareket Girişi'!D187)</f>
        <v/>
      </c>
      <c r="E185" s="27">
        <f>IF($A185="", "", 'Hareket Girişi'!E187)</f>
        <v/>
      </c>
      <c r="F185" s="27">
        <f>IF($A185="", "", D185-E185)</f>
        <v/>
      </c>
    </row>
    <row r="186">
      <c r="A186" s="11">
        <f>IF('Hareket Girişi'!F188=1,'Hareket Girişi'!A188,"")</f>
        <v/>
      </c>
      <c r="B186">
        <f>IF($A186="", "", 'Hareket Girişi'!B188)</f>
        <v/>
      </c>
      <c r="C186">
        <f>IF($A186="", "", 'Hareket Girişi'!C188)</f>
        <v/>
      </c>
      <c r="D186" s="27">
        <f>IF($A186="", "", 'Hareket Girişi'!D188)</f>
        <v/>
      </c>
      <c r="E186" s="27">
        <f>IF($A186="", "", 'Hareket Girişi'!E188)</f>
        <v/>
      </c>
      <c r="F186" s="27">
        <f>IF($A186="", "", D186-E186)</f>
        <v/>
      </c>
    </row>
    <row r="187">
      <c r="A187" s="11">
        <f>IF('Hareket Girişi'!F189=1,'Hareket Girişi'!A189,"")</f>
        <v/>
      </c>
      <c r="B187">
        <f>IF($A187="", "", 'Hareket Girişi'!B189)</f>
        <v/>
      </c>
      <c r="C187">
        <f>IF($A187="", "", 'Hareket Girişi'!C189)</f>
        <v/>
      </c>
      <c r="D187" s="27">
        <f>IF($A187="", "", 'Hareket Girişi'!D189)</f>
        <v/>
      </c>
      <c r="E187" s="27">
        <f>IF($A187="", "", 'Hareket Girişi'!E189)</f>
        <v/>
      </c>
      <c r="F187" s="27">
        <f>IF($A187="", "", D187-E187)</f>
        <v/>
      </c>
    </row>
    <row r="188">
      <c r="A188" s="11">
        <f>IF('Hareket Girişi'!F190=1,'Hareket Girişi'!A190,"")</f>
        <v/>
      </c>
      <c r="B188">
        <f>IF($A188="", "", 'Hareket Girişi'!B190)</f>
        <v/>
      </c>
      <c r="C188">
        <f>IF($A188="", "", 'Hareket Girişi'!C190)</f>
        <v/>
      </c>
      <c r="D188" s="27">
        <f>IF($A188="", "", 'Hareket Girişi'!D190)</f>
        <v/>
      </c>
      <c r="E188" s="27">
        <f>IF($A188="", "", 'Hareket Girişi'!E190)</f>
        <v/>
      </c>
      <c r="F188" s="27">
        <f>IF($A188="", "", D188-E188)</f>
        <v/>
      </c>
    </row>
    <row r="189">
      <c r="A189" s="11">
        <f>IF('Hareket Girişi'!F191=1,'Hareket Girişi'!A191,"")</f>
        <v/>
      </c>
      <c r="B189">
        <f>IF($A189="", "", 'Hareket Girişi'!B191)</f>
        <v/>
      </c>
      <c r="C189">
        <f>IF($A189="", "", 'Hareket Girişi'!C191)</f>
        <v/>
      </c>
      <c r="D189" s="27">
        <f>IF($A189="", "", 'Hareket Girişi'!D191)</f>
        <v/>
      </c>
      <c r="E189" s="27">
        <f>IF($A189="", "", 'Hareket Girişi'!E191)</f>
        <v/>
      </c>
      <c r="F189" s="27">
        <f>IF($A189="", "", D189-E189)</f>
        <v/>
      </c>
    </row>
    <row r="190">
      <c r="A190" s="11">
        <f>IF('Hareket Girişi'!F192=1,'Hareket Girişi'!A192,"")</f>
        <v/>
      </c>
      <c r="B190">
        <f>IF($A190="", "", 'Hareket Girişi'!B192)</f>
        <v/>
      </c>
      <c r="C190">
        <f>IF($A190="", "", 'Hareket Girişi'!C192)</f>
        <v/>
      </c>
      <c r="D190" s="27">
        <f>IF($A190="", "", 'Hareket Girişi'!D192)</f>
        <v/>
      </c>
      <c r="E190" s="27">
        <f>IF($A190="", "", 'Hareket Girişi'!E192)</f>
        <v/>
      </c>
      <c r="F190" s="27">
        <f>IF($A190="", "", D190-E190)</f>
        <v/>
      </c>
    </row>
    <row r="191">
      <c r="A191" s="11">
        <f>IF('Hareket Girişi'!F193=1,'Hareket Girişi'!A193,"")</f>
        <v/>
      </c>
      <c r="B191">
        <f>IF($A191="", "", 'Hareket Girişi'!B193)</f>
        <v/>
      </c>
      <c r="C191">
        <f>IF($A191="", "", 'Hareket Girişi'!C193)</f>
        <v/>
      </c>
      <c r="D191" s="27">
        <f>IF($A191="", "", 'Hareket Girişi'!D193)</f>
        <v/>
      </c>
      <c r="E191" s="27">
        <f>IF($A191="", "", 'Hareket Girişi'!E193)</f>
        <v/>
      </c>
      <c r="F191" s="27">
        <f>IF($A191="", "", D191-E191)</f>
        <v/>
      </c>
    </row>
    <row r="192">
      <c r="A192" s="11">
        <f>IF('Hareket Girişi'!F194=1,'Hareket Girişi'!A194,"")</f>
        <v/>
      </c>
      <c r="B192">
        <f>IF($A192="", "", 'Hareket Girişi'!B194)</f>
        <v/>
      </c>
      <c r="C192">
        <f>IF($A192="", "", 'Hareket Girişi'!C194)</f>
        <v/>
      </c>
      <c r="D192" s="27">
        <f>IF($A192="", "", 'Hareket Girişi'!D194)</f>
        <v/>
      </c>
      <c r="E192" s="27">
        <f>IF($A192="", "", 'Hareket Girişi'!E194)</f>
        <v/>
      </c>
      <c r="F192" s="27">
        <f>IF($A192="", "", D192-E192)</f>
        <v/>
      </c>
    </row>
    <row r="193">
      <c r="A193" s="11">
        <f>IF('Hareket Girişi'!F195=1,'Hareket Girişi'!A195,"")</f>
        <v/>
      </c>
      <c r="B193">
        <f>IF($A193="", "", 'Hareket Girişi'!B195)</f>
        <v/>
      </c>
      <c r="C193">
        <f>IF($A193="", "", 'Hareket Girişi'!C195)</f>
        <v/>
      </c>
      <c r="D193" s="27">
        <f>IF($A193="", "", 'Hareket Girişi'!D195)</f>
        <v/>
      </c>
      <c r="E193" s="27">
        <f>IF($A193="", "", 'Hareket Girişi'!E195)</f>
        <v/>
      </c>
      <c r="F193" s="27">
        <f>IF($A193="", "", D193-E193)</f>
        <v/>
      </c>
    </row>
    <row r="194">
      <c r="A194" s="11">
        <f>IF('Hareket Girişi'!F196=1,'Hareket Girişi'!A196,"")</f>
        <v/>
      </c>
      <c r="B194">
        <f>IF($A194="", "", 'Hareket Girişi'!B196)</f>
        <v/>
      </c>
      <c r="C194">
        <f>IF($A194="", "", 'Hareket Girişi'!C196)</f>
        <v/>
      </c>
      <c r="D194" s="27">
        <f>IF($A194="", "", 'Hareket Girişi'!D196)</f>
        <v/>
      </c>
      <c r="E194" s="27">
        <f>IF($A194="", "", 'Hareket Girişi'!E196)</f>
        <v/>
      </c>
      <c r="F194" s="27">
        <f>IF($A194="", "", D194-E194)</f>
        <v/>
      </c>
    </row>
    <row r="195">
      <c r="A195" s="11">
        <f>IF('Hareket Girişi'!F197=1,'Hareket Girişi'!A197,"")</f>
        <v/>
      </c>
      <c r="B195">
        <f>IF($A195="", "", 'Hareket Girişi'!B197)</f>
        <v/>
      </c>
      <c r="C195">
        <f>IF($A195="", "", 'Hareket Girişi'!C197)</f>
        <v/>
      </c>
      <c r="D195" s="27">
        <f>IF($A195="", "", 'Hareket Girişi'!D197)</f>
        <v/>
      </c>
      <c r="E195" s="27">
        <f>IF($A195="", "", 'Hareket Girişi'!E197)</f>
        <v/>
      </c>
      <c r="F195" s="27">
        <f>IF($A195="", "", D195-E195)</f>
        <v/>
      </c>
    </row>
    <row r="196">
      <c r="A196" s="11">
        <f>IF('Hareket Girişi'!F198=1,'Hareket Girişi'!A198,"")</f>
        <v/>
      </c>
      <c r="B196">
        <f>IF($A196="", "", 'Hareket Girişi'!B198)</f>
        <v/>
      </c>
      <c r="C196">
        <f>IF($A196="", "", 'Hareket Girişi'!C198)</f>
        <v/>
      </c>
      <c r="D196" s="27">
        <f>IF($A196="", "", 'Hareket Girişi'!D198)</f>
        <v/>
      </c>
      <c r="E196" s="27">
        <f>IF($A196="", "", 'Hareket Girişi'!E198)</f>
        <v/>
      </c>
      <c r="F196" s="27">
        <f>IF($A196="", "", D196-E196)</f>
        <v/>
      </c>
    </row>
    <row r="197">
      <c r="A197" s="11">
        <f>IF('Hareket Girişi'!F199=1,'Hareket Girişi'!A199,"")</f>
        <v/>
      </c>
      <c r="B197">
        <f>IF($A197="", "", 'Hareket Girişi'!B199)</f>
        <v/>
      </c>
      <c r="C197">
        <f>IF($A197="", "", 'Hareket Girişi'!C199)</f>
        <v/>
      </c>
      <c r="D197" s="27">
        <f>IF($A197="", "", 'Hareket Girişi'!D199)</f>
        <v/>
      </c>
      <c r="E197" s="27">
        <f>IF($A197="", "", 'Hareket Girişi'!E199)</f>
        <v/>
      </c>
      <c r="F197" s="27">
        <f>IF($A197="", "", D197-E197)</f>
        <v/>
      </c>
    </row>
    <row r="198">
      <c r="A198" s="11">
        <f>IF('Hareket Girişi'!F200=1,'Hareket Girişi'!A200,"")</f>
        <v/>
      </c>
      <c r="B198">
        <f>IF($A198="", "", 'Hareket Girişi'!B200)</f>
        <v/>
      </c>
      <c r="C198">
        <f>IF($A198="", "", 'Hareket Girişi'!C200)</f>
        <v/>
      </c>
      <c r="D198" s="27">
        <f>IF($A198="", "", 'Hareket Girişi'!D200)</f>
        <v/>
      </c>
      <c r="E198" s="27">
        <f>IF($A198="", "", 'Hareket Girişi'!E200)</f>
        <v/>
      </c>
      <c r="F198" s="27">
        <f>IF($A198="", "", D198-E198)</f>
        <v/>
      </c>
    </row>
    <row r="199">
      <c r="A199" s="11">
        <f>IF('Hareket Girişi'!F201=1,'Hareket Girişi'!A201,"")</f>
        <v/>
      </c>
      <c r="B199">
        <f>IF($A199="", "", 'Hareket Girişi'!B201)</f>
        <v/>
      </c>
      <c r="C199">
        <f>IF($A199="", "", 'Hareket Girişi'!C201)</f>
        <v/>
      </c>
      <c r="D199" s="27">
        <f>IF($A199="", "", 'Hareket Girişi'!D201)</f>
        <v/>
      </c>
      <c r="E199" s="27">
        <f>IF($A199="", "", 'Hareket Girişi'!E201)</f>
        <v/>
      </c>
      <c r="F199" s="27">
        <f>IF($A199="", "", D199-E199)</f>
        <v/>
      </c>
    </row>
    <row r="200">
      <c r="A200" s="11">
        <f>IF('Hareket Girişi'!F202=1,'Hareket Girişi'!A202,"")</f>
        <v/>
      </c>
      <c r="B200">
        <f>IF($A200="", "", 'Hareket Girişi'!B202)</f>
        <v/>
      </c>
      <c r="C200">
        <f>IF($A200="", "", 'Hareket Girişi'!C202)</f>
        <v/>
      </c>
      <c r="D200" s="27">
        <f>IF($A200="", "", 'Hareket Girişi'!D202)</f>
        <v/>
      </c>
      <c r="E200" s="27">
        <f>IF($A200="", "", 'Hareket Girişi'!E202)</f>
        <v/>
      </c>
      <c r="F200" s="27">
        <f>IF($A200="", "", D200-E200)</f>
        <v/>
      </c>
    </row>
    <row r="201">
      <c r="A201" s="11">
        <f>IF('Hareket Girişi'!F203=1,'Hareket Girişi'!A203,"")</f>
        <v/>
      </c>
      <c r="B201">
        <f>IF($A201="", "", 'Hareket Girişi'!B203)</f>
        <v/>
      </c>
      <c r="C201">
        <f>IF($A201="", "", 'Hareket Girişi'!C203)</f>
        <v/>
      </c>
      <c r="D201" s="27">
        <f>IF($A201="", "", 'Hareket Girişi'!D203)</f>
        <v/>
      </c>
      <c r="E201" s="27">
        <f>IF($A201="", "", 'Hareket Girişi'!E203)</f>
        <v/>
      </c>
      <c r="F201" s="27">
        <f>IF($A201="", "", D201-E201)</f>
        <v/>
      </c>
    </row>
    <row r="202">
      <c r="A202" s="11">
        <f>IF('Hareket Girişi'!F204=1,'Hareket Girişi'!A204,"")</f>
        <v/>
      </c>
      <c r="B202">
        <f>IF($A202="", "", 'Hareket Girişi'!B204)</f>
        <v/>
      </c>
      <c r="C202">
        <f>IF($A202="", "", 'Hareket Girişi'!C204)</f>
        <v/>
      </c>
      <c r="D202" s="27">
        <f>IF($A202="", "", 'Hareket Girişi'!D204)</f>
        <v/>
      </c>
      <c r="E202" s="27">
        <f>IF($A202="", "", 'Hareket Girişi'!E204)</f>
        <v/>
      </c>
      <c r="F202" s="27">
        <f>IF($A202="", "", D202-E202)</f>
        <v/>
      </c>
    </row>
    <row r="203">
      <c r="A203" s="11">
        <f>IF('Hareket Girişi'!F205=1,'Hareket Girişi'!A205,"")</f>
        <v/>
      </c>
      <c r="B203">
        <f>IF($A203="", "", 'Hareket Girişi'!B205)</f>
        <v/>
      </c>
      <c r="C203">
        <f>IF($A203="", "", 'Hareket Girişi'!C205)</f>
        <v/>
      </c>
      <c r="D203" s="27">
        <f>IF($A203="", "", 'Hareket Girişi'!D205)</f>
        <v/>
      </c>
      <c r="E203" s="27">
        <f>IF($A203="", "", 'Hareket Girişi'!E205)</f>
        <v/>
      </c>
      <c r="F203" s="27">
        <f>IF($A203="", "", D203-E203)</f>
        <v/>
      </c>
    </row>
    <row r="204">
      <c r="C204" s="13" t="inlineStr">
        <is>
          <t>TOPLAM</t>
        </is>
      </c>
      <c r="D204" s="14">
        <f>SUM(D4:D203)</f>
        <v/>
      </c>
      <c r="E204" s="14">
        <f>SUM(E4:E203)</f>
        <v/>
      </c>
      <c r="F204" s="14">
        <f>SUM(F4:F203)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ŞUBAT DETAY</t>
        </is>
      </c>
    </row>
    <row r="3">
      <c r="A3" s="10" t="inlineStr">
        <is>
          <t>Tarih</t>
        </is>
      </c>
      <c r="B3" s="10" t="inlineStr">
        <is>
          <t>Tür</t>
        </is>
      </c>
      <c r="C3" s="10" t="inlineStr">
        <is>
          <t>Açıklama</t>
        </is>
      </c>
      <c r="D3" s="10" t="inlineStr">
        <is>
          <t>Borç</t>
        </is>
      </c>
      <c r="E3" s="10" t="inlineStr">
        <is>
          <t>Alacak</t>
        </is>
      </c>
      <c r="F3" s="10" t="inlineStr">
        <is>
          <t>Net</t>
        </is>
      </c>
    </row>
    <row r="4">
      <c r="A4" s="11">
        <f>IF('Hareket Girişi'!F6=2,'Hareket Girişi'!A6,"")</f>
        <v/>
      </c>
      <c r="B4">
        <f>IF($A4="", "", 'Hareket Girişi'!B6)</f>
        <v/>
      </c>
      <c r="C4">
        <f>IF($A4="", "", 'Hareket Girişi'!C6)</f>
        <v/>
      </c>
      <c r="D4" s="27">
        <f>IF($A4="", "", 'Hareket Girişi'!D6)</f>
        <v/>
      </c>
      <c r="E4" s="27">
        <f>IF($A4="", "", 'Hareket Girişi'!E6)</f>
        <v/>
      </c>
      <c r="F4" s="27">
        <f>IF($A4="", "", D4-E4)</f>
        <v/>
      </c>
    </row>
    <row r="5">
      <c r="A5" s="11">
        <f>IF('Hareket Girişi'!F7=2,'Hareket Girişi'!A7,"")</f>
        <v/>
      </c>
      <c r="B5">
        <f>IF($A5="", "", 'Hareket Girişi'!B7)</f>
        <v/>
      </c>
      <c r="C5">
        <f>IF($A5="", "", 'Hareket Girişi'!C7)</f>
        <v/>
      </c>
      <c r="D5" s="27">
        <f>IF($A5="", "", 'Hareket Girişi'!D7)</f>
        <v/>
      </c>
      <c r="E5" s="27">
        <f>IF($A5="", "", 'Hareket Girişi'!E7)</f>
        <v/>
      </c>
      <c r="F5" s="27">
        <f>IF($A5="", "", D5-E5)</f>
        <v/>
      </c>
    </row>
    <row r="6">
      <c r="A6" s="11">
        <f>IF('Hareket Girişi'!F8=2,'Hareket Girişi'!A8,"")</f>
        <v/>
      </c>
      <c r="B6">
        <f>IF($A6="", "", 'Hareket Girişi'!B8)</f>
        <v/>
      </c>
      <c r="C6">
        <f>IF($A6="", "", 'Hareket Girişi'!C8)</f>
        <v/>
      </c>
      <c r="D6" s="27">
        <f>IF($A6="", "", 'Hareket Girişi'!D8)</f>
        <v/>
      </c>
      <c r="E6" s="27">
        <f>IF($A6="", "", 'Hareket Girişi'!E8)</f>
        <v/>
      </c>
      <c r="F6" s="27">
        <f>IF($A6="", "", D6-E6)</f>
        <v/>
      </c>
    </row>
    <row r="7">
      <c r="A7" s="11">
        <f>IF('Hareket Girişi'!F9=2,'Hareket Girişi'!A9,"")</f>
        <v/>
      </c>
      <c r="B7">
        <f>IF($A7="", "", 'Hareket Girişi'!B9)</f>
        <v/>
      </c>
      <c r="C7">
        <f>IF($A7="", "", 'Hareket Girişi'!C9)</f>
        <v/>
      </c>
      <c r="D7" s="27">
        <f>IF($A7="", "", 'Hareket Girişi'!D9)</f>
        <v/>
      </c>
      <c r="E7" s="27">
        <f>IF($A7="", "", 'Hareket Girişi'!E9)</f>
        <v/>
      </c>
      <c r="F7" s="27">
        <f>IF($A7="", "", D7-E7)</f>
        <v/>
      </c>
    </row>
    <row r="8">
      <c r="A8" s="11">
        <f>IF('Hareket Girişi'!F10=2,'Hareket Girişi'!A10,"")</f>
        <v/>
      </c>
      <c r="B8">
        <f>IF($A8="", "", 'Hareket Girişi'!B10)</f>
        <v/>
      </c>
      <c r="C8">
        <f>IF($A8="", "", 'Hareket Girişi'!C10)</f>
        <v/>
      </c>
      <c r="D8" s="27">
        <f>IF($A8="", "", 'Hareket Girişi'!D10)</f>
        <v/>
      </c>
      <c r="E8" s="27">
        <f>IF($A8="", "", 'Hareket Girişi'!E10)</f>
        <v/>
      </c>
      <c r="F8" s="27">
        <f>IF($A8="", "", D8-E8)</f>
        <v/>
      </c>
    </row>
    <row r="9">
      <c r="A9" s="11">
        <f>IF('Hareket Girişi'!F11=2,'Hareket Girişi'!A11,"")</f>
        <v/>
      </c>
      <c r="B9">
        <f>IF($A9="", "", 'Hareket Girişi'!B11)</f>
        <v/>
      </c>
      <c r="C9">
        <f>IF($A9="", "", 'Hareket Girişi'!C11)</f>
        <v/>
      </c>
      <c r="D9" s="27">
        <f>IF($A9="", "", 'Hareket Girişi'!D11)</f>
        <v/>
      </c>
      <c r="E9" s="27">
        <f>IF($A9="", "", 'Hareket Girişi'!E11)</f>
        <v/>
      </c>
      <c r="F9" s="27">
        <f>IF($A9="", "", D9-E9)</f>
        <v/>
      </c>
    </row>
    <row r="10">
      <c r="A10" s="11">
        <f>IF('Hareket Girişi'!F12=2,'Hareket Girişi'!A12,"")</f>
        <v/>
      </c>
      <c r="B10">
        <f>IF($A10="", "", 'Hareket Girişi'!B12)</f>
        <v/>
      </c>
      <c r="C10">
        <f>IF($A10="", "", 'Hareket Girişi'!C12)</f>
        <v/>
      </c>
      <c r="D10" s="27">
        <f>IF($A10="", "", 'Hareket Girişi'!D12)</f>
        <v/>
      </c>
      <c r="E10" s="27">
        <f>IF($A10="", "", 'Hareket Girişi'!E12)</f>
        <v/>
      </c>
      <c r="F10" s="27">
        <f>IF($A10="", "", D10-E10)</f>
        <v/>
      </c>
    </row>
    <row r="11">
      <c r="A11" s="11">
        <f>IF('Hareket Girişi'!F13=2,'Hareket Girişi'!A13,"")</f>
        <v/>
      </c>
      <c r="B11">
        <f>IF($A11="", "", 'Hareket Girişi'!B13)</f>
        <v/>
      </c>
      <c r="C11">
        <f>IF($A11="", "", 'Hareket Girişi'!C13)</f>
        <v/>
      </c>
      <c r="D11" s="27">
        <f>IF($A11="", "", 'Hareket Girişi'!D13)</f>
        <v/>
      </c>
      <c r="E11" s="27">
        <f>IF($A11="", "", 'Hareket Girişi'!E13)</f>
        <v/>
      </c>
      <c r="F11" s="27">
        <f>IF($A11="", "", D11-E11)</f>
        <v/>
      </c>
    </row>
    <row r="12">
      <c r="A12" s="11">
        <f>IF('Hareket Girişi'!F14=2,'Hareket Girişi'!A14,"")</f>
        <v/>
      </c>
      <c r="B12">
        <f>IF($A12="", "", 'Hareket Girişi'!B14)</f>
        <v/>
      </c>
      <c r="C12">
        <f>IF($A12="", "", 'Hareket Girişi'!C14)</f>
        <v/>
      </c>
      <c r="D12" s="27">
        <f>IF($A12="", "", 'Hareket Girişi'!D14)</f>
        <v/>
      </c>
      <c r="E12" s="27">
        <f>IF($A12="", "", 'Hareket Girişi'!E14)</f>
        <v/>
      </c>
      <c r="F12" s="27">
        <f>IF($A12="", "", D12-E12)</f>
        <v/>
      </c>
    </row>
    <row r="13">
      <c r="A13" s="11">
        <f>IF('Hareket Girişi'!F15=2,'Hareket Girişi'!A15,"")</f>
        <v/>
      </c>
      <c r="B13">
        <f>IF($A13="", "", 'Hareket Girişi'!B15)</f>
        <v/>
      </c>
      <c r="C13">
        <f>IF($A13="", "", 'Hareket Girişi'!C15)</f>
        <v/>
      </c>
      <c r="D13" s="27">
        <f>IF($A13="", "", 'Hareket Girişi'!D15)</f>
        <v/>
      </c>
      <c r="E13" s="27">
        <f>IF($A13="", "", 'Hareket Girişi'!E15)</f>
        <v/>
      </c>
      <c r="F13" s="27">
        <f>IF($A13="", "", D13-E13)</f>
        <v/>
      </c>
    </row>
    <row r="14">
      <c r="A14" s="11">
        <f>IF('Hareket Girişi'!F16=2,'Hareket Girişi'!A16,"")</f>
        <v/>
      </c>
      <c r="B14">
        <f>IF($A14="", "", 'Hareket Girişi'!B16)</f>
        <v/>
      </c>
      <c r="C14">
        <f>IF($A14="", "", 'Hareket Girişi'!C16)</f>
        <v/>
      </c>
      <c r="D14" s="27">
        <f>IF($A14="", "", 'Hareket Girişi'!D16)</f>
        <v/>
      </c>
      <c r="E14" s="27">
        <f>IF($A14="", "", 'Hareket Girişi'!E16)</f>
        <v/>
      </c>
      <c r="F14" s="27">
        <f>IF($A14="", "", D14-E14)</f>
        <v/>
      </c>
    </row>
    <row r="15">
      <c r="A15" s="11">
        <f>IF('Hareket Girişi'!F17=2,'Hareket Girişi'!A17,"")</f>
        <v/>
      </c>
      <c r="B15">
        <f>IF($A15="", "", 'Hareket Girişi'!B17)</f>
        <v/>
      </c>
      <c r="C15">
        <f>IF($A15="", "", 'Hareket Girişi'!C17)</f>
        <v/>
      </c>
      <c r="D15" s="27">
        <f>IF($A15="", "", 'Hareket Girişi'!D17)</f>
        <v/>
      </c>
      <c r="E15" s="27">
        <f>IF($A15="", "", 'Hareket Girişi'!E17)</f>
        <v/>
      </c>
      <c r="F15" s="27">
        <f>IF($A15="", "", D15-E15)</f>
        <v/>
      </c>
    </row>
    <row r="16">
      <c r="A16" s="11">
        <f>IF('Hareket Girişi'!F18=2,'Hareket Girişi'!A18,"")</f>
        <v/>
      </c>
      <c r="B16">
        <f>IF($A16="", "", 'Hareket Girişi'!B18)</f>
        <v/>
      </c>
      <c r="C16">
        <f>IF($A16="", "", 'Hareket Girişi'!C18)</f>
        <v/>
      </c>
      <c r="D16" s="27">
        <f>IF($A16="", "", 'Hareket Girişi'!D18)</f>
        <v/>
      </c>
      <c r="E16" s="27">
        <f>IF($A16="", "", 'Hareket Girişi'!E18)</f>
        <v/>
      </c>
      <c r="F16" s="27">
        <f>IF($A16="", "", D16-E16)</f>
        <v/>
      </c>
    </row>
    <row r="17">
      <c r="A17" s="11">
        <f>IF('Hareket Girişi'!F19=2,'Hareket Girişi'!A19,"")</f>
        <v/>
      </c>
      <c r="B17">
        <f>IF($A17="", "", 'Hareket Girişi'!B19)</f>
        <v/>
      </c>
      <c r="C17">
        <f>IF($A17="", "", 'Hareket Girişi'!C19)</f>
        <v/>
      </c>
      <c r="D17" s="27">
        <f>IF($A17="", "", 'Hareket Girişi'!D19)</f>
        <v/>
      </c>
      <c r="E17" s="27">
        <f>IF($A17="", "", 'Hareket Girişi'!E19)</f>
        <v/>
      </c>
      <c r="F17" s="27">
        <f>IF($A17="", "", D17-E17)</f>
        <v/>
      </c>
    </row>
    <row r="18">
      <c r="A18" s="11">
        <f>IF('Hareket Girişi'!F20=2,'Hareket Girişi'!A20,"")</f>
        <v/>
      </c>
      <c r="B18">
        <f>IF($A18="", "", 'Hareket Girişi'!B20)</f>
        <v/>
      </c>
      <c r="C18">
        <f>IF($A18="", "", 'Hareket Girişi'!C20)</f>
        <v/>
      </c>
      <c r="D18" s="27">
        <f>IF($A18="", "", 'Hareket Girişi'!D20)</f>
        <v/>
      </c>
      <c r="E18" s="27">
        <f>IF($A18="", "", 'Hareket Girişi'!E20)</f>
        <v/>
      </c>
      <c r="F18" s="27">
        <f>IF($A18="", "", D18-E18)</f>
        <v/>
      </c>
    </row>
    <row r="19">
      <c r="A19" s="11">
        <f>IF('Hareket Girişi'!F21=2,'Hareket Girişi'!A21,"")</f>
        <v/>
      </c>
      <c r="B19">
        <f>IF($A19="", "", 'Hareket Girişi'!B21)</f>
        <v/>
      </c>
      <c r="C19">
        <f>IF($A19="", "", 'Hareket Girişi'!C21)</f>
        <v/>
      </c>
      <c r="D19" s="27">
        <f>IF($A19="", "", 'Hareket Girişi'!D21)</f>
        <v/>
      </c>
      <c r="E19" s="27">
        <f>IF($A19="", "", 'Hareket Girişi'!E21)</f>
        <v/>
      </c>
      <c r="F19" s="27">
        <f>IF($A19="", "", D19-E19)</f>
        <v/>
      </c>
    </row>
    <row r="20">
      <c r="A20" s="11">
        <f>IF('Hareket Girişi'!F22=2,'Hareket Girişi'!A22,"")</f>
        <v/>
      </c>
      <c r="B20">
        <f>IF($A20="", "", 'Hareket Girişi'!B22)</f>
        <v/>
      </c>
      <c r="C20">
        <f>IF($A20="", "", 'Hareket Girişi'!C22)</f>
        <v/>
      </c>
      <c r="D20" s="27">
        <f>IF($A20="", "", 'Hareket Girişi'!D22)</f>
        <v/>
      </c>
      <c r="E20" s="27">
        <f>IF($A20="", "", 'Hareket Girişi'!E22)</f>
        <v/>
      </c>
      <c r="F20" s="27">
        <f>IF($A20="", "", D20-E20)</f>
        <v/>
      </c>
    </row>
    <row r="21">
      <c r="A21" s="11">
        <f>IF('Hareket Girişi'!F23=2,'Hareket Girişi'!A23,"")</f>
        <v/>
      </c>
      <c r="B21">
        <f>IF($A21="", "", 'Hareket Girişi'!B23)</f>
        <v/>
      </c>
      <c r="C21">
        <f>IF($A21="", "", 'Hareket Girişi'!C23)</f>
        <v/>
      </c>
      <c r="D21" s="27">
        <f>IF($A21="", "", 'Hareket Girişi'!D23)</f>
        <v/>
      </c>
      <c r="E21" s="27">
        <f>IF($A21="", "", 'Hareket Girişi'!E23)</f>
        <v/>
      </c>
      <c r="F21" s="27">
        <f>IF($A21="", "", D21-E21)</f>
        <v/>
      </c>
    </row>
    <row r="22">
      <c r="A22" s="11">
        <f>IF('Hareket Girişi'!F24=2,'Hareket Girişi'!A24,"")</f>
        <v/>
      </c>
      <c r="B22">
        <f>IF($A22="", "", 'Hareket Girişi'!B24)</f>
        <v/>
      </c>
      <c r="C22">
        <f>IF($A22="", "", 'Hareket Girişi'!C24)</f>
        <v/>
      </c>
      <c r="D22" s="27">
        <f>IF($A22="", "", 'Hareket Girişi'!D24)</f>
        <v/>
      </c>
      <c r="E22" s="27">
        <f>IF($A22="", "", 'Hareket Girişi'!E24)</f>
        <v/>
      </c>
      <c r="F22" s="27">
        <f>IF($A22="", "", D22-E22)</f>
        <v/>
      </c>
    </row>
    <row r="23">
      <c r="A23" s="11">
        <f>IF('Hareket Girişi'!F25=2,'Hareket Girişi'!A25,"")</f>
        <v/>
      </c>
      <c r="B23">
        <f>IF($A23="", "", 'Hareket Girişi'!B25)</f>
        <v/>
      </c>
      <c r="C23">
        <f>IF($A23="", "", 'Hareket Girişi'!C25)</f>
        <v/>
      </c>
      <c r="D23" s="27">
        <f>IF($A23="", "", 'Hareket Girişi'!D25)</f>
        <v/>
      </c>
      <c r="E23" s="27">
        <f>IF($A23="", "", 'Hareket Girişi'!E25)</f>
        <v/>
      </c>
      <c r="F23" s="27">
        <f>IF($A23="", "", D23-E23)</f>
        <v/>
      </c>
    </row>
    <row r="24">
      <c r="A24" s="11">
        <f>IF('Hareket Girişi'!F26=2,'Hareket Girişi'!A26,"")</f>
        <v/>
      </c>
      <c r="B24">
        <f>IF($A24="", "", 'Hareket Girişi'!B26)</f>
        <v/>
      </c>
      <c r="C24">
        <f>IF($A24="", "", 'Hareket Girişi'!C26)</f>
        <v/>
      </c>
      <c r="D24" s="27">
        <f>IF($A24="", "", 'Hareket Girişi'!D26)</f>
        <v/>
      </c>
      <c r="E24" s="27">
        <f>IF($A24="", "", 'Hareket Girişi'!E26)</f>
        <v/>
      </c>
      <c r="F24" s="27">
        <f>IF($A24="", "", D24-E24)</f>
        <v/>
      </c>
    </row>
    <row r="25">
      <c r="A25" s="11">
        <f>IF('Hareket Girişi'!F27=2,'Hareket Girişi'!A27,"")</f>
        <v/>
      </c>
      <c r="B25">
        <f>IF($A25="", "", 'Hareket Girişi'!B27)</f>
        <v/>
      </c>
      <c r="C25">
        <f>IF($A25="", "", 'Hareket Girişi'!C27)</f>
        <v/>
      </c>
      <c r="D25" s="27">
        <f>IF($A25="", "", 'Hareket Girişi'!D27)</f>
        <v/>
      </c>
      <c r="E25" s="27">
        <f>IF($A25="", "", 'Hareket Girişi'!E27)</f>
        <v/>
      </c>
      <c r="F25" s="27">
        <f>IF($A25="", "", D25-E25)</f>
        <v/>
      </c>
    </row>
    <row r="26">
      <c r="A26" s="11">
        <f>IF('Hareket Girişi'!F28=2,'Hareket Girişi'!A28,"")</f>
        <v/>
      </c>
      <c r="B26">
        <f>IF($A26="", "", 'Hareket Girişi'!B28)</f>
        <v/>
      </c>
      <c r="C26">
        <f>IF($A26="", "", 'Hareket Girişi'!C28)</f>
        <v/>
      </c>
      <c r="D26" s="27">
        <f>IF($A26="", "", 'Hareket Girişi'!D28)</f>
        <v/>
      </c>
      <c r="E26" s="27">
        <f>IF($A26="", "", 'Hareket Girişi'!E28)</f>
        <v/>
      </c>
      <c r="F26" s="27">
        <f>IF($A26="", "", D26-E26)</f>
        <v/>
      </c>
    </row>
    <row r="27">
      <c r="A27" s="11">
        <f>IF('Hareket Girişi'!F29=2,'Hareket Girişi'!A29,"")</f>
        <v/>
      </c>
      <c r="B27">
        <f>IF($A27="", "", 'Hareket Girişi'!B29)</f>
        <v/>
      </c>
      <c r="C27">
        <f>IF($A27="", "", 'Hareket Girişi'!C29)</f>
        <v/>
      </c>
      <c r="D27" s="27">
        <f>IF($A27="", "", 'Hareket Girişi'!D29)</f>
        <v/>
      </c>
      <c r="E27" s="27">
        <f>IF($A27="", "", 'Hareket Girişi'!E29)</f>
        <v/>
      </c>
      <c r="F27" s="27">
        <f>IF($A27="", "", D27-E27)</f>
        <v/>
      </c>
    </row>
    <row r="28">
      <c r="A28" s="11">
        <f>IF('Hareket Girişi'!F30=2,'Hareket Girişi'!A30,"")</f>
        <v/>
      </c>
      <c r="B28">
        <f>IF($A28="", "", 'Hareket Girişi'!B30)</f>
        <v/>
      </c>
      <c r="C28">
        <f>IF($A28="", "", 'Hareket Girişi'!C30)</f>
        <v/>
      </c>
      <c r="D28" s="27">
        <f>IF($A28="", "", 'Hareket Girişi'!D30)</f>
        <v/>
      </c>
      <c r="E28" s="27">
        <f>IF($A28="", "", 'Hareket Girişi'!E30)</f>
        <v/>
      </c>
      <c r="F28" s="27">
        <f>IF($A28="", "", D28-E28)</f>
        <v/>
      </c>
    </row>
    <row r="29">
      <c r="A29" s="11">
        <f>IF('Hareket Girişi'!F31=2,'Hareket Girişi'!A31,"")</f>
        <v/>
      </c>
      <c r="B29">
        <f>IF($A29="", "", 'Hareket Girişi'!B31)</f>
        <v/>
      </c>
      <c r="C29">
        <f>IF($A29="", "", 'Hareket Girişi'!C31)</f>
        <v/>
      </c>
      <c r="D29" s="27">
        <f>IF($A29="", "", 'Hareket Girişi'!D31)</f>
        <v/>
      </c>
      <c r="E29" s="27">
        <f>IF($A29="", "", 'Hareket Girişi'!E31)</f>
        <v/>
      </c>
      <c r="F29" s="27">
        <f>IF($A29="", "", D29-E29)</f>
        <v/>
      </c>
    </row>
    <row r="30">
      <c r="A30" s="11">
        <f>IF('Hareket Girişi'!F32=2,'Hareket Girişi'!A32,"")</f>
        <v/>
      </c>
      <c r="B30">
        <f>IF($A30="", "", 'Hareket Girişi'!B32)</f>
        <v/>
      </c>
      <c r="C30">
        <f>IF($A30="", "", 'Hareket Girişi'!C32)</f>
        <v/>
      </c>
      <c r="D30" s="27">
        <f>IF($A30="", "", 'Hareket Girişi'!D32)</f>
        <v/>
      </c>
      <c r="E30" s="27">
        <f>IF($A30="", "", 'Hareket Girişi'!E32)</f>
        <v/>
      </c>
      <c r="F30" s="27">
        <f>IF($A30="", "", D30-E30)</f>
        <v/>
      </c>
    </row>
    <row r="31">
      <c r="A31" s="11">
        <f>IF('Hareket Girişi'!F33=2,'Hareket Girişi'!A33,"")</f>
        <v/>
      </c>
      <c r="B31">
        <f>IF($A31="", "", 'Hareket Girişi'!B33)</f>
        <v/>
      </c>
      <c r="C31">
        <f>IF($A31="", "", 'Hareket Girişi'!C33)</f>
        <v/>
      </c>
      <c r="D31" s="27">
        <f>IF($A31="", "", 'Hareket Girişi'!D33)</f>
        <v/>
      </c>
      <c r="E31" s="27">
        <f>IF($A31="", "", 'Hareket Girişi'!E33)</f>
        <v/>
      </c>
      <c r="F31" s="27">
        <f>IF($A31="", "", D31-E31)</f>
        <v/>
      </c>
    </row>
    <row r="32">
      <c r="A32" s="11">
        <f>IF('Hareket Girişi'!F34=2,'Hareket Girişi'!A34,"")</f>
        <v/>
      </c>
      <c r="B32">
        <f>IF($A32="", "", 'Hareket Girişi'!B34)</f>
        <v/>
      </c>
      <c r="C32">
        <f>IF($A32="", "", 'Hareket Girişi'!C34)</f>
        <v/>
      </c>
      <c r="D32" s="27">
        <f>IF($A32="", "", 'Hareket Girişi'!D34)</f>
        <v/>
      </c>
      <c r="E32" s="27">
        <f>IF($A32="", "", 'Hareket Girişi'!E34)</f>
        <v/>
      </c>
      <c r="F32" s="27">
        <f>IF($A32="", "", D32-E32)</f>
        <v/>
      </c>
    </row>
    <row r="33">
      <c r="A33" s="11">
        <f>IF('Hareket Girişi'!F35=2,'Hareket Girişi'!A35,"")</f>
        <v/>
      </c>
      <c r="B33">
        <f>IF($A33="", "", 'Hareket Girişi'!B35)</f>
        <v/>
      </c>
      <c r="C33">
        <f>IF($A33="", "", 'Hareket Girişi'!C35)</f>
        <v/>
      </c>
      <c r="D33" s="27">
        <f>IF($A33="", "", 'Hareket Girişi'!D35)</f>
        <v/>
      </c>
      <c r="E33" s="27">
        <f>IF($A33="", "", 'Hareket Girişi'!E35)</f>
        <v/>
      </c>
      <c r="F33" s="27">
        <f>IF($A33="", "", D33-E33)</f>
        <v/>
      </c>
    </row>
    <row r="34">
      <c r="A34" s="11">
        <f>IF('Hareket Girişi'!F36=2,'Hareket Girişi'!A36,"")</f>
        <v/>
      </c>
      <c r="B34">
        <f>IF($A34="", "", 'Hareket Girişi'!B36)</f>
        <v/>
      </c>
      <c r="C34">
        <f>IF($A34="", "", 'Hareket Girişi'!C36)</f>
        <v/>
      </c>
      <c r="D34" s="27">
        <f>IF($A34="", "", 'Hareket Girişi'!D36)</f>
        <v/>
      </c>
      <c r="E34" s="27">
        <f>IF($A34="", "", 'Hareket Girişi'!E36)</f>
        <v/>
      </c>
      <c r="F34" s="27">
        <f>IF($A34="", "", D34-E34)</f>
        <v/>
      </c>
    </row>
    <row r="35">
      <c r="A35" s="11">
        <f>IF('Hareket Girişi'!F37=2,'Hareket Girişi'!A37,"")</f>
        <v/>
      </c>
      <c r="B35">
        <f>IF($A35="", "", 'Hareket Girişi'!B37)</f>
        <v/>
      </c>
      <c r="C35">
        <f>IF($A35="", "", 'Hareket Girişi'!C37)</f>
        <v/>
      </c>
      <c r="D35" s="27">
        <f>IF($A35="", "", 'Hareket Girişi'!D37)</f>
        <v/>
      </c>
      <c r="E35" s="27">
        <f>IF($A35="", "", 'Hareket Girişi'!E37)</f>
        <v/>
      </c>
      <c r="F35" s="27">
        <f>IF($A35="", "", D35-E35)</f>
        <v/>
      </c>
    </row>
    <row r="36">
      <c r="A36" s="11">
        <f>IF('Hareket Girişi'!F38=2,'Hareket Girişi'!A38,"")</f>
        <v/>
      </c>
      <c r="B36">
        <f>IF($A36="", "", 'Hareket Girişi'!B38)</f>
        <v/>
      </c>
      <c r="C36">
        <f>IF($A36="", "", 'Hareket Girişi'!C38)</f>
        <v/>
      </c>
      <c r="D36" s="27">
        <f>IF($A36="", "", 'Hareket Girişi'!D38)</f>
        <v/>
      </c>
      <c r="E36" s="27">
        <f>IF($A36="", "", 'Hareket Girişi'!E38)</f>
        <v/>
      </c>
      <c r="F36" s="27">
        <f>IF($A36="", "", D36-E36)</f>
        <v/>
      </c>
    </row>
    <row r="37">
      <c r="A37" s="11">
        <f>IF('Hareket Girişi'!F39=2,'Hareket Girişi'!A39,"")</f>
        <v/>
      </c>
      <c r="B37">
        <f>IF($A37="", "", 'Hareket Girişi'!B39)</f>
        <v/>
      </c>
      <c r="C37">
        <f>IF($A37="", "", 'Hareket Girişi'!C39)</f>
        <v/>
      </c>
      <c r="D37" s="27">
        <f>IF($A37="", "", 'Hareket Girişi'!D39)</f>
        <v/>
      </c>
      <c r="E37" s="27">
        <f>IF($A37="", "", 'Hareket Girişi'!E39)</f>
        <v/>
      </c>
      <c r="F37" s="27">
        <f>IF($A37="", "", D37-E37)</f>
        <v/>
      </c>
    </row>
    <row r="38">
      <c r="A38" s="11">
        <f>IF('Hareket Girişi'!F40=2,'Hareket Girişi'!A40,"")</f>
        <v/>
      </c>
      <c r="B38">
        <f>IF($A38="", "", 'Hareket Girişi'!B40)</f>
        <v/>
      </c>
      <c r="C38">
        <f>IF($A38="", "", 'Hareket Girişi'!C40)</f>
        <v/>
      </c>
      <c r="D38" s="27">
        <f>IF($A38="", "", 'Hareket Girişi'!D40)</f>
        <v/>
      </c>
      <c r="E38" s="27">
        <f>IF($A38="", "", 'Hareket Girişi'!E40)</f>
        <v/>
      </c>
      <c r="F38" s="27">
        <f>IF($A38="", "", D38-E38)</f>
        <v/>
      </c>
    </row>
    <row r="39">
      <c r="A39" s="11">
        <f>IF('Hareket Girişi'!F41=2,'Hareket Girişi'!A41,"")</f>
        <v/>
      </c>
      <c r="B39">
        <f>IF($A39="", "", 'Hareket Girişi'!B41)</f>
        <v/>
      </c>
      <c r="C39">
        <f>IF($A39="", "", 'Hareket Girişi'!C41)</f>
        <v/>
      </c>
      <c r="D39" s="27">
        <f>IF($A39="", "", 'Hareket Girişi'!D41)</f>
        <v/>
      </c>
      <c r="E39" s="27">
        <f>IF($A39="", "", 'Hareket Girişi'!E41)</f>
        <v/>
      </c>
      <c r="F39" s="27">
        <f>IF($A39="", "", D39-E39)</f>
        <v/>
      </c>
    </row>
    <row r="40">
      <c r="A40" s="11">
        <f>IF('Hareket Girişi'!F42=2,'Hareket Girişi'!A42,"")</f>
        <v/>
      </c>
      <c r="B40">
        <f>IF($A40="", "", 'Hareket Girişi'!B42)</f>
        <v/>
      </c>
      <c r="C40">
        <f>IF($A40="", "", 'Hareket Girişi'!C42)</f>
        <v/>
      </c>
      <c r="D40" s="27">
        <f>IF($A40="", "", 'Hareket Girişi'!D42)</f>
        <v/>
      </c>
      <c r="E40" s="27">
        <f>IF($A40="", "", 'Hareket Girişi'!E42)</f>
        <v/>
      </c>
      <c r="F40" s="27">
        <f>IF($A40="", "", D40-E40)</f>
        <v/>
      </c>
    </row>
    <row r="41">
      <c r="A41" s="11">
        <f>IF('Hareket Girişi'!F43=2,'Hareket Girişi'!A43,"")</f>
        <v/>
      </c>
      <c r="B41">
        <f>IF($A41="", "", 'Hareket Girişi'!B43)</f>
        <v/>
      </c>
      <c r="C41">
        <f>IF($A41="", "", 'Hareket Girişi'!C43)</f>
        <v/>
      </c>
      <c r="D41" s="27">
        <f>IF($A41="", "", 'Hareket Girişi'!D43)</f>
        <v/>
      </c>
      <c r="E41" s="27">
        <f>IF($A41="", "", 'Hareket Girişi'!E43)</f>
        <v/>
      </c>
      <c r="F41" s="27">
        <f>IF($A41="", "", D41-E41)</f>
        <v/>
      </c>
    </row>
    <row r="42">
      <c r="A42" s="11">
        <f>IF('Hareket Girişi'!F44=2,'Hareket Girişi'!A44,"")</f>
        <v/>
      </c>
      <c r="B42">
        <f>IF($A42="", "", 'Hareket Girişi'!B44)</f>
        <v/>
      </c>
      <c r="C42">
        <f>IF($A42="", "", 'Hareket Girişi'!C44)</f>
        <v/>
      </c>
      <c r="D42" s="27">
        <f>IF($A42="", "", 'Hareket Girişi'!D44)</f>
        <v/>
      </c>
      <c r="E42" s="27">
        <f>IF($A42="", "", 'Hareket Girişi'!E44)</f>
        <v/>
      </c>
      <c r="F42" s="27">
        <f>IF($A42="", "", D42-E42)</f>
        <v/>
      </c>
    </row>
    <row r="43">
      <c r="A43" s="11">
        <f>IF('Hareket Girişi'!F45=2,'Hareket Girişi'!A45,"")</f>
        <v/>
      </c>
      <c r="B43">
        <f>IF($A43="", "", 'Hareket Girişi'!B45)</f>
        <v/>
      </c>
      <c r="C43">
        <f>IF($A43="", "", 'Hareket Girişi'!C45)</f>
        <v/>
      </c>
      <c r="D43" s="27">
        <f>IF($A43="", "", 'Hareket Girişi'!D45)</f>
        <v/>
      </c>
      <c r="E43" s="27">
        <f>IF($A43="", "", 'Hareket Girişi'!E45)</f>
        <v/>
      </c>
      <c r="F43" s="27">
        <f>IF($A43="", "", D43-E43)</f>
        <v/>
      </c>
    </row>
    <row r="44">
      <c r="A44" s="11">
        <f>IF('Hareket Girişi'!F46=2,'Hareket Girişi'!A46,"")</f>
        <v/>
      </c>
      <c r="B44">
        <f>IF($A44="", "", 'Hareket Girişi'!B46)</f>
        <v/>
      </c>
      <c r="C44">
        <f>IF($A44="", "", 'Hareket Girişi'!C46)</f>
        <v/>
      </c>
      <c r="D44" s="27">
        <f>IF($A44="", "", 'Hareket Girişi'!D46)</f>
        <v/>
      </c>
      <c r="E44" s="27">
        <f>IF($A44="", "", 'Hareket Girişi'!E46)</f>
        <v/>
      </c>
      <c r="F44" s="27">
        <f>IF($A44="", "", D44-E44)</f>
        <v/>
      </c>
    </row>
    <row r="45">
      <c r="A45" s="11">
        <f>IF('Hareket Girişi'!F47=2,'Hareket Girişi'!A47,"")</f>
        <v/>
      </c>
      <c r="B45">
        <f>IF($A45="", "", 'Hareket Girişi'!B47)</f>
        <v/>
      </c>
      <c r="C45">
        <f>IF($A45="", "", 'Hareket Girişi'!C47)</f>
        <v/>
      </c>
      <c r="D45" s="27">
        <f>IF($A45="", "", 'Hareket Girişi'!D47)</f>
        <v/>
      </c>
      <c r="E45" s="27">
        <f>IF($A45="", "", 'Hareket Girişi'!E47)</f>
        <v/>
      </c>
      <c r="F45" s="27">
        <f>IF($A45="", "", D45-E45)</f>
        <v/>
      </c>
    </row>
    <row r="46">
      <c r="A46" s="11">
        <f>IF('Hareket Girişi'!F48=2,'Hareket Girişi'!A48,"")</f>
        <v/>
      </c>
      <c r="B46">
        <f>IF($A46="", "", 'Hareket Girişi'!B48)</f>
        <v/>
      </c>
      <c r="C46">
        <f>IF($A46="", "", 'Hareket Girişi'!C48)</f>
        <v/>
      </c>
      <c r="D46" s="27">
        <f>IF($A46="", "", 'Hareket Girişi'!D48)</f>
        <v/>
      </c>
      <c r="E46" s="27">
        <f>IF($A46="", "", 'Hareket Girişi'!E48)</f>
        <v/>
      </c>
      <c r="F46" s="27">
        <f>IF($A46="", "", D46-E46)</f>
        <v/>
      </c>
    </row>
    <row r="47">
      <c r="A47" s="11">
        <f>IF('Hareket Girişi'!F49=2,'Hareket Girişi'!A49,"")</f>
        <v/>
      </c>
      <c r="B47">
        <f>IF($A47="", "", 'Hareket Girişi'!B49)</f>
        <v/>
      </c>
      <c r="C47">
        <f>IF($A47="", "", 'Hareket Girişi'!C49)</f>
        <v/>
      </c>
      <c r="D47" s="27">
        <f>IF($A47="", "", 'Hareket Girişi'!D49)</f>
        <v/>
      </c>
      <c r="E47" s="27">
        <f>IF($A47="", "", 'Hareket Girişi'!E49)</f>
        <v/>
      </c>
      <c r="F47" s="27">
        <f>IF($A47="", "", D47-E47)</f>
        <v/>
      </c>
    </row>
    <row r="48">
      <c r="A48" s="11">
        <f>IF('Hareket Girişi'!F50=2,'Hareket Girişi'!A50,"")</f>
        <v/>
      </c>
      <c r="B48">
        <f>IF($A48="", "", 'Hareket Girişi'!B50)</f>
        <v/>
      </c>
      <c r="C48">
        <f>IF($A48="", "", 'Hareket Girişi'!C50)</f>
        <v/>
      </c>
      <c r="D48" s="27">
        <f>IF($A48="", "", 'Hareket Girişi'!D50)</f>
        <v/>
      </c>
      <c r="E48" s="27">
        <f>IF($A48="", "", 'Hareket Girişi'!E50)</f>
        <v/>
      </c>
      <c r="F48" s="27">
        <f>IF($A48="", "", D48-E48)</f>
        <v/>
      </c>
    </row>
    <row r="49">
      <c r="A49" s="11">
        <f>IF('Hareket Girişi'!F51=2,'Hareket Girişi'!A51,"")</f>
        <v/>
      </c>
      <c r="B49">
        <f>IF($A49="", "", 'Hareket Girişi'!B51)</f>
        <v/>
      </c>
      <c r="C49">
        <f>IF($A49="", "", 'Hareket Girişi'!C51)</f>
        <v/>
      </c>
      <c r="D49" s="27">
        <f>IF($A49="", "", 'Hareket Girişi'!D51)</f>
        <v/>
      </c>
      <c r="E49" s="27">
        <f>IF($A49="", "", 'Hareket Girişi'!E51)</f>
        <v/>
      </c>
      <c r="F49" s="27">
        <f>IF($A49="", "", D49-E49)</f>
        <v/>
      </c>
    </row>
    <row r="50">
      <c r="A50" s="11">
        <f>IF('Hareket Girişi'!F52=2,'Hareket Girişi'!A52,"")</f>
        <v/>
      </c>
      <c r="B50">
        <f>IF($A50="", "", 'Hareket Girişi'!B52)</f>
        <v/>
      </c>
      <c r="C50">
        <f>IF($A50="", "", 'Hareket Girişi'!C52)</f>
        <v/>
      </c>
      <c r="D50" s="27">
        <f>IF($A50="", "", 'Hareket Girişi'!D52)</f>
        <v/>
      </c>
      <c r="E50" s="27">
        <f>IF($A50="", "", 'Hareket Girişi'!E52)</f>
        <v/>
      </c>
      <c r="F50" s="27">
        <f>IF($A50="", "", D50-E50)</f>
        <v/>
      </c>
    </row>
    <row r="51">
      <c r="A51" s="11">
        <f>IF('Hareket Girişi'!F53=2,'Hareket Girişi'!A53,"")</f>
        <v/>
      </c>
      <c r="B51">
        <f>IF($A51="", "", 'Hareket Girişi'!B53)</f>
        <v/>
      </c>
      <c r="C51">
        <f>IF($A51="", "", 'Hareket Girişi'!C53)</f>
        <v/>
      </c>
      <c r="D51" s="27">
        <f>IF($A51="", "", 'Hareket Girişi'!D53)</f>
        <v/>
      </c>
      <c r="E51" s="27">
        <f>IF($A51="", "", 'Hareket Girişi'!E53)</f>
        <v/>
      </c>
      <c r="F51" s="27">
        <f>IF($A51="", "", D51-E51)</f>
        <v/>
      </c>
    </row>
    <row r="52">
      <c r="A52" s="11">
        <f>IF('Hareket Girişi'!F54=2,'Hareket Girişi'!A54,"")</f>
        <v/>
      </c>
      <c r="B52">
        <f>IF($A52="", "", 'Hareket Girişi'!B54)</f>
        <v/>
      </c>
      <c r="C52">
        <f>IF($A52="", "", 'Hareket Girişi'!C54)</f>
        <v/>
      </c>
      <c r="D52" s="27">
        <f>IF($A52="", "", 'Hareket Girişi'!D54)</f>
        <v/>
      </c>
      <c r="E52" s="27">
        <f>IF($A52="", "", 'Hareket Girişi'!E54)</f>
        <v/>
      </c>
      <c r="F52" s="27">
        <f>IF($A52="", "", D52-E52)</f>
        <v/>
      </c>
    </row>
    <row r="53">
      <c r="A53" s="11">
        <f>IF('Hareket Girişi'!F55=2,'Hareket Girişi'!A55,"")</f>
        <v/>
      </c>
      <c r="B53">
        <f>IF($A53="", "", 'Hareket Girişi'!B55)</f>
        <v/>
      </c>
      <c r="C53">
        <f>IF($A53="", "", 'Hareket Girişi'!C55)</f>
        <v/>
      </c>
      <c r="D53" s="27">
        <f>IF($A53="", "", 'Hareket Girişi'!D55)</f>
        <v/>
      </c>
      <c r="E53" s="27">
        <f>IF($A53="", "", 'Hareket Girişi'!E55)</f>
        <v/>
      </c>
      <c r="F53" s="27">
        <f>IF($A53="", "", D53-E53)</f>
        <v/>
      </c>
    </row>
    <row r="54">
      <c r="A54" s="11">
        <f>IF('Hareket Girişi'!F56=2,'Hareket Girişi'!A56,"")</f>
        <v/>
      </c>
      <c r="B54">
        <f>IF($A54="", "", 'Hareket Girişi'!B56)</f>
        <v/>
      </c>
      <c r="C54">
        <f>IF($A54="", "", 'Hareket Girişi'!C56)</f>
        <v/>
      </c>
      <c r="D54" s="27">
        <f>IF($A54="", "", 'Hareket Girişi'!D56)</f>
        <v/>
      </c>
      <c r="E54" s="27">
        <f>IF($A54="", "", 'Hareket Girişi'!E56)</f>
        <v/>
      </c>
      <c r="F54" s="27">
        <f>IF($A54="", "", D54-E54)</f>
        <v/>
      </c>
    </row>
    <row r="55">
      <c r="A55" s="11">
        <f>IF('Hareket Girişi'!F57=2,'Hareket Girişi'!A57,"")</f>
        <v/>
      </c>
      <c r="B55">
        <f>IF($A55="", "", 'Hareket Girişi'!B57)</f>
        <v/>
      </c>
      <c r="C55">
        <f>IF($A55="", "", 'Hareket Girişi'!C57)</f>
        <v/>
      </c>
      <c r="D55" s="27">
        <f>IF($A55="", "", 'Hareket Girişi'!D57)</f>
        <v/>
      </c>
      <c r="E55" s="27">
        <f>IF($A55="", "", 'Hareket Girişi'!E57)</f>
        <v/>
      </c>
      <c r="F55" s="27">
        <f>IF($A55="", "", D55-E55)</f>
        <v/>
      </c>
    </row>
    <row r="56">
      <c r="A56" s="11">
        <f>IF('Hareket Girişi'!F58=2,'Hareket Girişi'!A58,"")</f>
        <v/>
      </c>
      <c r="B56">
        <f>IF($A56="", "", 'Hareket Girişi'!B58)</f>
        <v/>
      </c>
      <c r="C56">
        <f>IF($A56="", "", 'Hareket Girişi'!C58)</f>
        <v/>
      </c>
      <c r="D56" s="27">
        <f>IF($A56="", "", 'Hareket Girişi'!D58)</f>
        <v/>
      </c>
      <c r="E56" s="27">
        <f>IF($A56="", "", 'Hareket Girişi'!E58)</f>
        <v/>
      </c>
      <c r="F56" s="27">
        <f>IF($A56="", "", D56-E56)</f>
        <v/>
      </c>
    </row>
    <row r="57">
      <c r="A57" s="11">
        <f>IF('Hareket Girişi'!F59=2,'Hareket Girişi'!A59,"")</f>
        <v/>
      </c>
      <c r="B57">
        <f>IF($A57="", "", 'Hareket Girişi'!B59)</f>
        <v/>
      </c>
      <c r="C57">
        <f>IF($A57="", "", 'Hareket Girişi'!C59)</f>
        <v/>
      </c>
      <c r="D57" s="27">
        <f>IF($A57="", "", 'Hareket Girişi'!D59)</f>
        <v/>
      </c>
      <c r="E57" s="27">
        <f>IF($A57="", "", 'Hareket Girişi'!E59)</f>
        <v/>
      </c>
      <c r="F57" s="27">
        <f>IF($A57="", "", D57-E57)</f>
        <v/>
      </c>
    </row>
    <row r="58">
      <c r="A58" s="11">
        <f>IF('Hareket Girişi'!F60=2,'Hareket Girişi'!A60,"")</f>
        <v/>
      </c>
      <c r="B58">
        <f>IF($A58="", "", 'Hareket Girişi'!B60)</f>
        <v/>
      </c>
      <c r="C58">
        <f>IF($A58="", "", 'Hareket Girişi'!C60)</f>
        <v/>
      </c>
      <c r="D58" s="27">
        <f>IF($A58="", "", 'Hareket Girişi'!D60)</f>
        <v/>
      </c>
      <c r="E58" s="27">
        <f>IF($A58="", "", 'Hareket Girişi'!E60)</f>
        <v/>
      </c>
      <c r="F58" s="27">
        <f>IF($A58="", "", D58-E58)</f>
        <v/>
      </c>
    </row>
    <row r="59">
      <c r="A59" s="11">
        <f>IF('Hareket Girişi'!F61=2,'Hareket Girişi'!A61,"")</f>
        <v/>
      </c>
      <c r="B59">
        <f>IF($A59="", "", 'Hareket Girişi'!B61)</f>
        <v/>
      </c>
      <c r="C59">
        <f>IF($A59="", "", 'Hareket Girişi'!C61)</f>
        <v/>
      </c>
      <c r="D59" s="27">
        <f>IF($A59="", "", 'Hareket Girişi'!D61)</f>
        <v/>
      </c>
      <c r="E59" s="27">
        <f>IF($A59="", "", 'Hareket Girişi'!E61)</f>
        <v/>
      </c>
      <c r="F59" s="27">
        <f>IF($A59="", "", D59-E59)</f>
        <v/>
      </c>
    </row>
    <row r="60">
      <c r="A60" s="11">
        <f>IF('Hareket Girişi'!F62=2,'Hareket Girişi'!A62,"")</f>
        <v/>
      </c>
      <c r="B60">
        <f>IF($A60="", "", 'Hareket Girişi'!B62)</f>
        <v/>
      </c>
      <c r="C60">
        <f>IF($A60="", "", 'Hareket Girişi'!C62)</f>
        <v/>
      </c>
      <c r="D60" s="27">
        <f>IF($A60="", "", 'Hareket Girişi'!D62)</f>
        <v/>
      </c>
      <c r="E60" s="27">
        <f>IF($A60="", "", 'Hareket Girişi'!E62)</f>
        <v/>
      </c>
      <c r="F60" s="27">
        <f>IF($A60="", "", D60-E60)</f>
        <v/>
      </c>
    </row>
    <row r="61">
      <c r="A61" s="11">
        <f>IF('Hareket Girişi'!F63=2,'Hareket Girişi'!A63,"")</f>
        <v/>
      </c>
      <c r="B61">
        <f>IF($A61="", "", 'Hareket Girişi'!B63)</f>
        <v/>
      </c>
      <c r="C61">
        <f>IF($A61="", "", 'Hareket Girişi'!C63)</f>
        <v/>
      </c>
      <c r="D61" s="27">
        <f>IF($A61="", "", 'Hareket Girişi'!D63)</f>
        <v/>
      </c>
      <c r="E61" s="27">
        <f>IF($A61="", "", 'Hareket Girişi'!E63)</f>
        <v/>
      </c>
      <c r="F61" s="27">
        <f>IF($A61="", "", D61-E61)</f>
        <v/>
      </c>
    </row>
    <row r="62">
      <c r="A62" s="11">
        <f>IF('Hareket Girişi'!F64=2,'Hareket Girişi'!A64,"")</f>
        <v/>
      </c>
      <c r="B62">
        <f>IF($A62="", "", 'Hareket Girişi'!B64)</f>
        <v/>
      </c>
      <c r="C62">
        <f>IF($A62="", "", 'Hareket Girişi'!C64)</f>
        <v/>
      </c>
      <c r="D62" s="27">
        <f>IF($A62="", "", 'Hareket Girişi'!D64)</f>
        <v/>
      </c>
      <c r="E62" s="27">
        <f>IF($A62="", "", 'Hareket Girişi'!E64)</f>
        <v/>
      </c>
      <c r="F62" s="27">
        <f>IF($A62="", "", D62-E62)</f>
        <v/>
      </c>
    </row>
    <row r="63">
      <c r="A63" s="11">
        <f>IF('Hareket Girişi'!F65=2,'Hareket Girişi'!A65,"")</f>
        <v/>
      </c>
      <c r="B63">
        <f>IF($A63="", "", 'Hareket Girişi'!B65)</f>
        <v/>
      </c>
      <c r="C63">
        <f>IF($A63="", "", 'Hareket Girişi'!C65)</f>
        <v/>
      </c>
      <c r="D63" s="27">
        <f>IF($A63="", "", 'Hareket Girişi'!D65)</f>
        <v/>
      </c>
      <c r="E63" s="27">
        <f>IF($A63="", "", 'Hareket Girişi'!E65)</f>
        <v/>
      </c>
      <c r="F63" s="27">
        <f>IF($A63="", "", D63-E63)</f>
        <v/>
      </c>
    </row>
    <row r="64">
      <c r="A64" s="11">
        <f>IF('Hareket Girişi'!F66=2,'Hareket Girişi'!A66,"")</f>
        <v/>
      </c>
      <c r="B64">
        <f>IF($A64="", "", 'Hareket Girişi'!B66)</f>
        <v/>
      </c>
      <c r="C64">
        <f>IF($A64="", "", 'Hareket Girişi'!C66)</f>
        <v/>
      </c>
      <c r="D64" s="27">
        <f>IF($A64="", "", 'Hareket Girişi'!D66)</f>
        <v/>
      </c>
      <c r="E64" s="27">
        <f>IF($A64="", "", 'Hareket Girişi'!E66)</f>
        <v/>
      </c>
      <c r="F64" s="27">
        <f>IF($A64="", "", D64-E64)</f>
        <v/>
      </c>
    </row>
    <row r="65">
      <c r="A65" s="11">
        <f>IF('Hareket Girişi'!F67=2,'Hareket Girişi'!A67,"")</f>
        <v/>
      </c>
      <c r="B65">
        <f>IF($A65="", "", 'Hareket Girişi'!B67)</f>
        <v/>
      </c>
      <c r="C65">
        <f>IF($A65="", "", 'Hareket Girişi'!C67)</f>
        <v/>
      </c>
      <c r="D65" s="27">
        <f>IF($A65="", "", 'Hareket Girişi'!D67)</f>
        <v/>
      </c>
      <c r="E65" s="27">
        <f>IF($A65="", "", 'Hareket Girişi'!E67)</f>
        <v/>
      </c>
      <c r="F65" s="27">
        <f>IF($A65="", "", D65-E65)</f>
        <v/>
      </c>
    </row>
    <row r="66">
      <c r="A66" s="11">
        <f>IF('Hareket Girişi'!F68=2,'Hareket Girişi'!A68,"")</f>
        <v/>
      </c>
      <c r="B66">
        <f>IF($A66="", "", 'Hareket Girişi'!B68)</f>
        <v/>
      </c>
      <c r="C66">
        <f>IF($A66="", "", 'Hareket Girişi'!C68)</f>
        <v/>
      </c>
      <c r="D66" s="27">
        <f>IF($A66="", "", 'Hareket Girişi'!D68)</f>
        <v/>
      </c>
      <c r="E66" s="27">
        <f>IF($A66="", "", 'Hareket Girişi'!E68)</f>
        <v/>
      </c>
      <c r="F66" s="27">
        <f>IF($A66="", "", D66-E66)</f>
        <v/>
      </c>
    </row>
    <row r="67">
      <c r="A67" s="11">
        <f>IF('Hareket Girişi'!F69=2,'Hareket Girişi'!A69,"")</f>
        <v/>
      </c>
      <c r="B67">
        <f>IF($A67="", "", 'Hareket Girişi'!B69)</f>
        <v/>
      </c>
      <c r="C67">
        <f>IF($A67="", "", 'Hareket Girişi'!C69)</f>
        <v/>
      </c>
      <c r="D67" s="27">
        <f>IF($A67="", "", 'Hareket Girişi'!D69)</f>
        <v/>
      </c>
      <c r="E67" s="27">
        <f>IF($A67="", "", 'Hareket Girişi'!E69)</f>
        <v/>
      </c>
      <c r="F67" s="27">
        <f>IF($A67="", "", D67-E67)</f>
        <v/>
      </c>
    </row>
    <row r="68">
      <c r="A68" s="11">
        <f>IF('Hareket Girişi'!F70=2,'Hareket Girişi'!A70,"")</f>
        <v/>
      </c>
      <c r="B68">
        <f>IF($A68="", "", 'Hareket Girişi'!B70)</f>
        <v/>
      </c>
      <c r="C68">
        <f>IF($A68="", "", 'Hareket Girişi'!C70)</f>
        <v/>
      </c>
      <c r="D68" s="27">
        <f>IF($A68="", "", 'Hareket Girişi'!D70)</f>
        <v/>
      </c>
      <c r="E68" s="27">
        <f>IF($A68="", "", 'Hareket Girişi'!E70)</f>
        <v/>
      </c>
      <c r="F68" s="27">
        <f>IF($A68="", "", D68-E68)</f>
        <v/>
      </c>
    </row>
    <row r="69">
      <c r="A69" s="11">
        <f>IF('Hareket Girişi'!F71=2,'Hareket Girişi'!A71,"")</f>
        <v/>
      </c>
      <c r="B69">
        <f>IF($A69="", "", 'Hareket Girişi'!B71)</f>
        <v/>
      </c>
      <c r="C69">
        <f>IF($A69="", "", 'Hareket Girişi'!C71)</f>
        <v/>
      </c>
      <c r="D69" s="27">
        <f>IF($A69="", "", 'Hareket Girişi'!D71)</f>
        <v/>
      </c>
      <c r="E69" s="27">
        <f>IF($A69="", "", 'Hareket Girişi'!E71)</f>
        <v/>
      </c>
      <c r="F69" s="27">
        <f>IF($A69="", "", D69-E69)</f>
        <v/>
      </c>
    </row>
    <row r="70">
      <c r="A70" s="11">
        <f>IF('Hareket Girişi'!F72=2,'Hareket Girişi'!A72,"")</f>
        <v/>
      </c>
      <c r="B70">
        <f>IF($A70="", "", 'Hareket Girişi'!B72)</f>
        <v/>
      </c>
      <c r="C70">
        <f>IF($A70="", "", 'Hareket Girişi'!C72)</f>
        <v/>
      </c>
      <c r="D70" s="27">
        <f>IF($A70="", "", 'Hareket Girişi'!D72)</f>
        <v/>
      </c>
      <c r="E70" s="27">
        <f>IF($A70="", "", 'Hareket Girişi'!E72)</f>
        <v/>
      </c>
      <c r="F70" s="27">
        <f>IF($A70="", "", D70-E70)</f>
        <v/>
      </c>
    </row>
    <row r="71">
      <c r="A71" s="11">
        <f>IF('Hareket Girişi'!F73=2,'Hareket Girişi'!A73,"")</f>
        <v/>
      </c>
      <c r="B71">
        <f>IF($A71="", "", 'Hareket Girişi'!B73)</f>
        <v/>
      </c>
      <c r="C71">
        <f>IF($A71="", "", 'Hareket Girişi'!C73)</f>
        <v/>
      </c>
      <c r="D71" s="27">
        <f>IF($A71="", "", 'Hareket Girişi'!D73)</f>
        <v/>
      </c>
      <c r="E71" s="27">
        <f>IF($A71="", "", 'Hareket Girişi'!E73)</f>
        <v/>
      </c>
      <c r="F71" s="27">
        <f>IF($A71="", "", D71-E71)</f>
        <v/>
      </c>
    </row>
    <row r="72">
      <c r="A72" s="11">
        <f>IF('Hareket Girişi'!F74=2,'Hareket Girişi'!A74,"")</f>
        <v/>
      </c>
      <c r="B72">
        <f>IF($A72="", "", 'Hareket Girişi'!B74)</f>
        <v/>
      </c>
      <c r="C72">
        <f>IF($A72="", "", 'Hareket Girişi'!C74)</f>
        <v/>
      </c>
      <c r="D72" s="27">
        <f>IF($A72="", "", 'Hareket Girişi'!D74)</f>
        <v/>
      </c>
      <c r="E72" s="27">
        <f>IF($A72="", "", 'Hareket Girişi'!E74)</f>
        <v/>
      </c>
      <c r="F72" s="27">
        <f>IF($A72="", "", D72-E72)</f>
        <v/>
      </c>
    </row>
    <row r="73">
      <c r="A73" s="11">
        <f>IF('Hareket Girişi'!F75=2,'Hareket Girişi'!A75,"")</f>
        <v/>
      </c>
      <c r="B73">
        <f>IF($A73="", "", 'Hareket Girişi'!B75)</f>
        <v/>
      </c>
      <c r="C73">
        <f>IF($A73="", "", 'Hareket Girişi'!C75)</f>
        <v/>
      </c>
      <c r="D73" s="27">
        <f>IF($A73="", "", 'Hareket Girişi'!D75)</f>
        <v/>
      </c>
      <c r="E73" s="27">
        <f>IF($A73="", "", 'Hareket Girişi'!E75)</f>
        <v/>
      </c>
      <c r="F73" s="27">
        <f>IF($A73="", "", D73-E73)</f>
        <v/>
      </c>
    </row>
    <row r="74">
      <c r="A74" s="11">
        <f>IF('Hareket Girişi'!F76=2,'Hareket Girişi'!A76,"")</f>
        <v/>
      </c>
      <c r="B74">
        <f>IF($A74="", "", 'Hareket Girişi'!B76)</f>
        <v/>
      </c>
      <c r="C74">
        <f>IF($A74="", "", 'Hareket Girişi'!C76)</f>
        <v/>
      </c>
      <c r="D74" s="27">
        <f>IF($A74="", "", 'Hareket Girişi'!D76)</f>
        <v/>
      </c>
      <c r="E74" s="27">
        <f>IF($A74="", "", 'Hareket Girişi'!E76)</f>
        <v/>
      </c>
      <c r="F74" s="27">
        <f>IF($A74="", "", D74-E74)</f>
        <v/>
      </c>
    </row>
    <row r="75">
      <c r="A75" s="11">
        <f>IF('Hareket Girişi'!F77=2,'Hareket Girişi'!A77,"")</f>
        <v/>
      </c>
      <c r="B75">
        <f>IF($A75="", "", 'Hareket Girişi'!B77)</f>
        <v/>
      </c>
      <c r="C75">
        <f>IF($A75="", "", 'Hareket Girişi'!C77)</f>
        <v/>
      </c>
      <c r="D75" s="27">
        <f>IF($A75="", "", 'Hareket Girişi'!D77)</f>
        <v/>
      </c>
      <c r="E75" s="27">
        <f>IF($A75="", "", 'Hareket Girişi'!E77)</f>
        <v/>
      </c>
      <c r="F75" s="27">
        <f>IF($A75="", "", D75-E75)</f>
        <v/>
      </c>
    </row>
    <row r="76">
      <c r="A76" s="11">
        <f>IF('Hareket Girişi'!F78=2,'Hareket Girişi'!A78,"")</f>
        <v/>
      </c>
      <c r="B76">
        <f>IF($A76="", "", 'Hareket Girişi'!B78)</f>
        <v/>
      </c>
      <c r="C76">
        <f>IF($A76="", "", 'Hareket Girişi'!C78)</f>
        <v/>
      </c>
      <c r="D76" s="27">
        <f>IF($A76="", "", 'Hareket Girişi'!D78)</f>
        <v/>
      </c>
      <c r="E76" s="27">
        <f>IF($A76="", "", 'Hareket Girişi'!E78)</f>
        <v/>
      </c>
      <c r="F76" s="27">
        <f>IF($A76="", "", D76-E76)</f>
        <v/>
      </c>
    </row>
    <row r="77">
      <c r="A77" s="11">
        <f>IF('Hareket Girişi'!F79=2,'Hareket Girişi'!A79,"")</f>
        <v/>
      </c>
      <c r="B77">
        <f>IF($A77="", "", 'Hareket Girişi'!B79)</f>
        <v/>
      </c>
      <c r="C77">
        <f>IF($A77="", "", 'Hareket Girişi'!C79)</f>
        <v/>
      </c>
      <c r="D77" s="27">
        <f>IF($A77="", "", 'Hareket Girişi'!D79)</f>
        <v/>
      </c>
      <c r="E77" s="27">
        <f>IF($A77="", "", 'Hareket Girişi'!E79)</f>
        <v/>
      </c>
      <c r="F77" s="27">
        <f>IF($A77="", "", D77-E77)</f>
        <v/>
      </c>
    </row>
    <row r="78">
      <c r="A78" s="11">
        <f>IF('Hareket Girişi'!F80=2,'Hareket Girişi'!A80,"")</f>
        <v/>
      </c>
      <c r="B78">
        <f>IF($A78="", "", 'Hareket Girişi'!B80)</f>
        <v/>
      </c>
      <c r="C78">
        <f>IF($A78="", "", 'Hareket Girişi'!C80)</f>
        <v/>
      </c>
      <c r="D78" s="27">
        <f>IF($A78="", "", 'Hareket Girişi'!D80)</f>
        <v/>
      </c>
      <c r="E78" s="27">
        <f>IF($A78="", "", 'Hareket Girişi'!E80)</f>
        <v/>
      </c>
      <c r="F78" s="27">
        <f>IF($A78="", "", D78-E78)</f>
        <v/>
      </c>
    </row>
    <row r="79">
      <c r="A79" s="11">
        <f>IF('Hareket Girişi'!F81=2,'Hareket Girişi'!A81,"")</f>
        <v/>
      </c>
      <c r="B79">
        <f>IF($A79="", "", 'Hareket Girişi'!B81)</f>
        <v/>
      </c>
      <c r="C79">
        <f>IF($A79="", "", 'Hareket Girişi'!C81)</f>
        <v/>
      </c>
      <c r="D79" s="27">
        <f>IF($A79="", "", 'Hareket Girişi'!D81)</f>
        <v/>
      </c>
      <c r="E79" s="27">
        <f>IF($A79="", "", 'Hareket Girişi'!E81)</f>
        <v/>
      </c>
      <c r="F79" s="27">
        <f>IF($A79="", "", D79-E79)</f>
        <v/>
      </c>
    </row>
    <row r="80">
      <c r="A80" s="11">
        <f>IF('Hareket Girişi'!F82=2,'Hareket Girişi'!A82,"")</f>
        <v/>
      </c>
      <c r="B80">
        <f>IF($A80="", "", 'Hareket Girişi'!B82)</f>
        <v/>
      </c>
      <c r="C80">
        <f>IF($A80="", "", 'Hareket Girişi'!C82)</f>
        <v/>
      </c>
      <c r="D80" s="27">
        <f>IF($A80="", "", 'Hareket Girişi'!D82)</f>
        <v/>
      </c>
      <c r="E80" s="27">
        <f>IF($A80="", "", 'Hareket Girişi'!E82)</f>
        <v/>
      </c>
      <c r="F80" s="27">
        <f>IF($A80="", "", D80-E80)</f>
        <v/>
      </c>
    </row>
    <row r="81">
      <c r="A81" s="11">
        <f>IF('Hareket Girişi'!F83=2,'Hareket Girişi'!A83,"")</f>
        <v/>
      </c>
      <c r="B81">
        <f>IF($A81="", "", 'Hareket Girişi'!B83)</f>
        <v/>
      </c>
      <c r="C81">
        <f>IF($A81="", "", 'Hareket Girişi'!C83)</f>
        <v/>
      </c>
      <c r="D81" s="27">
        <f>IF($A81="", "", 'Hareket Girişi'!D83)</f>
        <v/>
      </c>
      <c r="E81" s="27">
        <f>IF($A81="", "", 'Hareket Girişi'!E83)</f>
        <v/>
      </c>
      <c r="F81" s="27">
        <f>IF($A81="", "", D81-E81)</f>
        <v/>
      </c>
    </row>
    <row r="82">
      <c r="A82" s="11">
        <f>IF('Hareket Girişi'!F84=2,'Hareket Girişi'!A84,"")</f>
        <v/>
      </c>
      <c r="B82">
        <f>IF($A82="", "", 'Hareket Girişi'!B84)</f>
        <v/>
      </c>
      <c r="C82">
        <f>IF($A82="", "", 'Hareket Girişi'!C84)</f>
        <v/>
      </c>
      <c r="D82" s="27">
        <f>IF($A82="", "", 'Hareket Girişi'!D84)</f>
        <v/>
      </c>
      <c r="E82" s="27">
        <f>IF($A82="", "", 'Hareket Girişi'!E84)</f>
        <v/>
      </c>
      <c r="F82" s="27">
        <f>IF($A82="", "", D82-E82)</f>
        <v/>
      </c>
    </row>
    <row r="83">
      <c r="A83" s="11">
        <f>IF('Hareket Girişi'!F85=2,'Hareket Girişi'!A85,"")</f>
        <v/>
      </c>
      <c r="B83">
        <f>IF($A83="", "", 'Hareket Girişi'!B85)</f>
        <v/>
      </c>
      <c r="C83">
        <f>IF($A83="", "", 'Hareket Girişi'!C85)</f>
        <v/>
      </c>
      <c r="D83" s="27">
        <f>IF($A83="", "", 'Hareket Girişi'!D85)</f>
        <v/>
      </c>
      <c r="E83" s="27">
        <f>IF($A83="", "", 'Hareket Girişi'!E85)</f>
        <v/>
      </c>
      <c r="F83" s="27">
        <f>IF($A83="", "", D83-E83)</f>
        <v/>
      </c>
    </row>
    <row r="84">
      <c r="A84" s="11">
        <f>IF('Hareket Girişi'!F86=2,'Hareket Girişi'!A86,"")</f>
        <v/>
      </c>
      <c r="B84">
        <f>IF($A84="", "", 'Hareket Girişi'!B86)</f>
        <v/>
      </c>
      <c r="C84">
        <f>IF($A84="", "", 'Hareket Girişi'!C86)</f>
        <v/>
      </c>
      <c r="D84" s="27">
        <f>IF($A84="", "", 'Hareket Girişi'!D86)</f>
        <v/>
      </c>
      <c r="E84" s="27">
        <f>IF($A84="", "", 'Hareket Girişi'!E86)</f>
        <v/>
      </c>
      <c r="F84" s="27">
        <f>IF($A84="", "", D84-E84)</f>
        <v/>
      </c>
    </row>
    <row r="85">
      <c r="A85" s="11">
        <f>IF('Hareket Girişi'!F87=2,'Hareket Girişi'!A87,"")</f>
        <v/>
      </c>
      <c r="B85">
        <f>IF($A85="", "", 'Hareket Girişi'!B87)</f>
        <v/>
      </c>
      <c r="C85">
        <f>IF($A85="", "", 'Hareket Girişi'!C87)</f>
        <v/>
      </c>
      <c r="D85" s="27">
        <f>IF($A85="", "", 'Hareket Girişi'!D87)</f>
        <v/>
      </c>
      <c r="E85" s="27">
        <f>IF($A85="", "", 'Hareket Girişi'!E87)</f>
        <v/>
      </c>
      <c r="F85" s="27">
        <f>IF($A85="", "", D85-E85)</f>
        <v/>
      </c>
    </row>
    <row r="86">
      <c r="A86" s="11">
        <f>IF('Hareket Girişi'!F88=2,'Hareket Girişi'!A88,"")</f>
        <v/>
      </c>
      <c r="B86">
        <f>IF($A86="", "", 'Hareket Girişi'!B88)</f>
        <v/>
      </c>
      <c r="C86">
        <f>IF($A86="", "", 'Hareket Girişi'!C88)</f>
        <v/>
      </c>
      <c r="D86" s="27">
        <f>IF($A86="", "", 'Hareket Girişi'!D88)</f>
        <v/>
      </c>
      <c r="E86" s="27">
        <f>IF($A86="", "", 'Hareket Girişi'!E88)</f>
        <v/>
      </c>
      <c r="F86" s="27">
        <f>IF($A86="", "", D86-E86)</f>
        <v/>
      </c>
    </row>
    <row r="87">
      <c r="A87" s="11">
        <f>IF('Hareket Girişi'!F89=2,'Hareket Girişi'!A89,"")</f>
        <v/>
      </c>
      <c r="B87">
        <f>IF($A87="", "", 'Hareket Girişi'!B89)</f>
        <v/>
      </c>
      <c r="C87">
        <f>IF($A87="", "", 'Hareket Girişi'!C89)</f>
        <v/>
      </c>
      <c r="D87" s="27">
        <f>IF($A87="", "", 'Hareket Girişi'!D89)</f>
        <v/>
      </c>
      <c r="E87" s="27">
        <f>IF($A87="", "", 'Hareket Girişi'!E89)</f>
        <v/>
      </c>
      <c r="F87" s="27">
        <f>IF($A87="", "", D87-E87)</f>
        <v/>
      </c>
    </row>
    <row r="88">
      <c r="A88" s="11">
        <f>IF('Hareket Girişi'!F90=2,'Hareket Girişi'!A90,"")</f>
        <v/>
      </c>
      <c r="B88">
        <f>IF($A88="", "", 'Hareket Girişi'!B90)</f>
        <v/>
      </c>
      <c r="C88">
        <f>IF($A88="", "", 'Hareket Girişi'!C90)</f>
        <v/>
      </c>
      <c r="D88" s="27">
        <f>IF($A88="", "", 'Hareket Girişi'!D90)</f>
        <v/>
      </c>
      <c r="E88" s="27">
        <f>IF($A88="", "", 'Hareket Girişi'!E90)</f>
        <v/>
      </c>
      <c r="F88" s="27">
        <f>IF($A88="", "", D88-E88)</f>
        <v/>
      </c>
    </row>
    <row r="89">
      <c r="A89" s="11">
        <f>IF('Hareket Girişi'!F91=2,'Hareket Girişi'!A91,"")</f>
        <v/>
      </c>
      <c r="B89">
        <f>IF($A89="", "", 'Hareket Girişi'!B91)</f>
        <v/>
      </c>
      <c r="C89">
        <f>IF($A89="", "", 'Hareket Girişi'!C91)</f>
        <v/>
      </c>
      <c r="D89" s="27">
        <f>IF($A89="", "", 'Hareket Girişi'!D91)</f>
        <v/>
      </c>
      <c r="E89" s="27">
        <f>IF($A89="", "", 'Hareket Girişi'!E91)</f>
        <v/>
      </c>
      <c r="F89" s="27">
        <f>IF($A89="", "", D89-E89)</f>
        <v/>
      </c>
    </row>
    <row r="90">
      <c r="A90" s="11">
        <f>IF('Hareket Girişi'!F92=2,'Hareket Girişi'!A92,"")</f>
        <v/>
      </c>
      <c r="B90">
        <f>IF($A90="", "", 'Hareket Girişi'!B92)</f>
        <v/>
      </c>
      <c r="C90">
        <f>IF($A90="", "", 'Hareket Girişi'!C92)</f>
        <v/>
      </c>
      <c r="D90" s="27">
        <f>IF($A90="", "", 'Hareket Girişi'!D92)</f>
        <v/>
      </c>
      <c r="E90" s="27">
        <f>IF($A90="", "", 'Hareket Girişi'!E92)</f>
        <v/>
      </c>
      <c r="F90" s="27">
        <f>IF($A90="", "", D90-E90)</f>
        <v/>
      </c>
    </row>
    <row r="91">
      <c r="A91" s="11">
        <f>IF('Hareket Girişi'!F93=2,'Hareket Girişi'!A93,"")</f>
        <v/>
      </c>
      <c r="B91">
        <f>IF($A91="", "", 'Hareket Girişi'!B93)</f>
        <v/>
      </c>
      <c r="C91">
        <f>IF($A91="", "", 'Hareket Girişi'!C93)</f>
        <v/>
      </c>
      <c r="D91" s="27">
        <f>IF($A91="", "", 'Hareket Girişi'!D93)</f>
        <v/>
      </c>
      <c r="E91" s="27">
        <f>IF($A91="", "", 'Hareket Girişi'!E93)</f>
        <v/>
      </c>
      <c r="F91" s="27">
        <f>IF($A91="", "", D91-E91)</f>
        <v/>
      </c>
    </row>
    <row r="92">
      <c r="A92" s="11">
        <f>IF('Hareket Girişi'!F94=2,'Hareket Girişi'!A94,"")</f>
        <v/>
      </c>
      <c r="B92">
        <f>IF($A92="", "", 'Hareket Girişi'!B94)</f>
        <v/>
      </c>
      <c r="C92">
        <f>IF($A92="", "", 'Hareket Girişi'!C94)</f>
        <v/>
      </c>
      <c r="D92" s="27">
        <f>IF($A92="", "", 'Hareket Girişi'!D94)</f>
        <v/>
      </c>
      <c r="E92" s="27">
        <f>IF($A92="", "", 'Hareket Girişi'!E94)</f>
        <v/>
      </c>
      <c r="F92" s="27">
        <f>IF($A92="", "", D92-E92)</f>
        <v/>
      </c>
    </row>
    <row r="93">
      <c r="A93" s="11">
        <f>IF('Hareket Girişi'!F95=2,'Hareket Girişi'!A95,"")</f>
        <v/>
      </c>
      <c r="B93">
        <f>IF($A93="", "", 'Hareket Girişi'!B95)</f>
        <v/>
      </c>
      <c r="C93">
        <f>IF($A93="", "", 'Hareket Girişi'!C95)</f>
        <v/>
      </c>
      <c r="D93" s="27">
        <f>IF($A93="", "", 'Hareket Girişi'!D95)</f>
        <v/>
      </c>
      <c r="E93" s="27">
        <f>IF($A93="", "", 'Hareket Girişi'!E95)</f>
        <v/>
      </c>
      <c r="F93" s="27">
        <f>IF($A93="", "", D93-E93)</f>
        <v/>
      </c>
    </row>
    <row r="94">
      <c r="A94" s="11">
        <f>IF('Hareket Girişi'!F96=2,'Hareket Girişi'!A96,"")</f>
        <v/>
      </c>
      <c r="B94">
        <f>IF($A94="", "", 'Hareket Girişi'!B96)</f>
        <v/>
      </c>
      <c r="C94">
        <f>IF($A94="", "", 'Hareket Girişi'!C96)</f>
        <v/>
      </c>
      <c r="D94" s="27">
        <f>IF($A94="", "", 'Hareket Girişi'!D96)</f>
        <v/>
      </c>
      <c r="E94" s="27">
        <f>IF($A94="", "", 'Hareket Girişi'!E96)</f>
        <v/>
      </c>
      <c r="F94" s="27">
        <f>IF($A94="", "", D94-E94)</f>
        <v/>
      </c>
    </row>
    <row r="95">
      <c r="A95" s="11">
        <f>IF('Hareket Girişi'!F97=2,'Hareket Girişi'!A97,"")</f>
        <v/>
      </c>
      <c r="B95">
        <f>IF($A95="", "", 'Hareket Girişi'!B97)</f>
        <v/>
      </c>
      <c r="C95">
        <f>IF($A95="", "", 'Hareket Girişi'!C97)</f>
        <v/>
      </c>
      <c r="D95" s="27">
        <f>IF($A95="", "", 'Hareket Girişi'!D97)</f>
        <v/>
      </c>
      <c r="E95" s="27">
        <f>IF($A95="", "", 'Hareket Girişi'!E97)</f>
        <v/>
      </c>
      <c r="F95" s="27">
        <f>IF($A95="", "", D95-E95)</f>
        <v/>
      </c>
    </row>
    <row r="96">
      <c r="A96" s="11">
        <f>IF('Hareket Girişi'!F98=2,'Hareket Girişi'!A98,"")</f>
        <v/>
      </c>
      <c r="B96">
        <f>IF($A96="", "", 'Hareket Girişi'!B98)</f>
        <v/>
      </c>
      <c r="C96">
        <f>IF($A96="", "", 'Hareket Girişi'!C98)</f>
        <v/>
      </c>
      <c r="D96" s="27">
        <f>IF($A96="", "", 'Hareket Girişi'!D98)</f>
        <v/>
      </c>
      <c r="E96" s="27">
        <f>IF($A96="", "", 'Hareket Girişi'!E98)</f>
        <v/>
      </c>
      <c r="F96" s="27">
        <f>IF($A96="", "", D96-E96)</f>
        <v/>
      </c>
    </row>
    <row r="97">
      <c r="A97" s="11">
        <f>IF('Hareket Girişi'!F99=2,'Hareket Girişi'!A99,"")</f>
        <v/>
      </c>
      <c r="B97">
        <f>IF($A97="", "", 'Hareket Girişi'!B99)</f>
        <v/>
      </c>
      <c r="C97">
        <f>IF($A97="", "", 'Hareket Girişi'!C99)</f>
        <v/>
      </c>
      <c r="D97" s="27">
        <f>IF($A97="", "", 'Hareket Girişi'!D99)</f>
        <v/>
      </c>
      <c r="E97" s="27">
        <f>IF($A97="", "", 'Hareket Girişi'!E99)</f>
        <v/>
      </c>
      <c r="F97" s="27">
        <f>IF($A97="", "", D97-E97)</f>
        <v/>
      </c>
    </row>
    <row r="98">
      <c r="A98" s="11">
        <f>IF('Hareket Girişi'!F100=2,'Hareket Girişi'!A100,"")</f>
        <v/>
      </c>
      <c r="B98">
        <f>IF($A98="", "", 'Hareket Girişi'!B100)</f>
        <v/>
      </c>
      <c r="C98">
        <f>IF($A98="", "", 'Hareket Girişi'!C100)</f>
        <v/>
      </c>
      <c r="D98" s="27">
        <f>IF($A98="", "", 'Hareket Girişi'!D100)</f>
        <v/>
      </c>
      <c r="E98" s="27">
        <f>IF($A98="", "", 'Hareket Girişi'!E100)</f>
        <v/>
      </c>
      <c r="F98" s="27">
        <f>IF($A98="", "", D98-E98)</f>
        <v/>
      </c>
    </row>
    <row r="99">
      <c r="A99" s="11">
        <f>IF('Hareket Girişi'!F101=2,'Hareket Girişi'!A101,"")</f>
        <v/>
      </c>
      <c r="B99">
        <f>IF($A99="", "", 'Hareket Girişi'!B101)</f>
        <v/>
      </c>
      <c r="C99">
        <f>IF($A99="", "", 'Hareket Girişi'!C101)</f>
        <v/>
      </c>
      <c r="D99" s="27">
        <f>IF($A99="", "", 'Hareket Girişi'!D101)</f>
        <v/>
      </c>
      <c r="E99" s="27">
        <f>IF($A99="", "", 'Hareket Girişi'!E101)</f>
        <v/>
      </c>
      <c r="F99" s="27">
        <f>IF($A99="", "", D99-E99)</f>
        <v/>
      </c>
    </row>
    <row r="100">
      <c r="A100" s="11">
        <f>IF('Hareket Girişi'!F102=2,'Hareket Girişi'!A102,"")</f>
        <v/>
      </c>
      <c r="B100">
        <f>IF($A100="", "", 'Hareket Girişi'!B102)</f>
        <v/>
      </c>
      <c r="C100">
        <f>IF($A100="", "", 'Hareket Girişi'!C102)</f>
        <v/>
      </c>
      <c r="D100" s="27">
        <f>IF($A100="", "", 'Hareket Girişi'!D102)</f>
        <v/>
      </c>
      <c r="E100" s="27">
        <f>IF($A100="", "", 'Hareket Girişi'!E102)</f>
        <v/>
      </c>
      <c r="F100" s="27">
        <f>IF($A100="", "", D100-E100)</f>
        <v/>
      </c>
    </row>
    <row r="101">
      <c r="A101" s="11">
        <f>IF('Hareket Girişi'!F103=2,'Hareket Girişi'!A103,"")</f>
        <v/>
      </c>
      <c r="B101">
        <f>IF($A101="", "", 'Hareket Girişi'!B103)</f>
        <v/>
      </c>
      <c r="C101">
        <f>IF($A101="", "", 'Hareket Girişi'!C103)</f>
        <v/>
      </c>
      <c r="D101" s="27">
        <f>IF($A101="", "", 'Hareket Girişi'!D103)</f>
        <v/>
      </c>
      <c r="E101" s="27">
        <f>IF($A101="", "", 'Hareket Girişi'!E103)</f>
        <v/>
      </c>
      <c r="F101" s="27">
        <f>IF($A101="", "", D101-E101)</f>
        <v/>
      </c>
    </row>
    <row r="102">
      <c r="A102" s="11">
        <f>IF('Hareket Girişi'!F104=2,'Hareket Girişi'!A104,"")</f>
        <v/>
      </c>
      <c r="B102">
        <f>IF($A102="", "", 'Hareket Girişi'!B104)</f>
        <v/>
      </c>
      <c r="C102">
        <f>IF($A102="", "", 'Hareket Girişi'!C104)</f>
        <v/>
      </c>
      <c r="D102" s="27">
        <f>IF($A102="", "", 'Hareket Girişi'!D104)</f>
        <v/>
      </c>
      <c r="E102" s="27">
        <f>IF($A102="", "", 'Hareket Girişi'!E104)</f>
        <v/>
      </c>
      <c r="F102" s="27">
        <f>IF($A102="", "", D102-E102)</f>
        <v/>
      </c>
    </row>
    <row r="103">
      <c r="A103" s="11">
        <f>IF('Hareket Girişi'!F105=2,'Hareket Girişi'!A105,"")</f>
        <v/>
      </c>
      <c r="B103">
        <f>IF($A103="", "", 'Hareket Girişi'!B105)</f>
        <v/>
      </c>
      <c r="C103">
        <f>IF($A103="", "", 'Hareket Girişi'!C105)</f>
        <v/>
      </c>
      <c r="D103" s="27">
        <f>IF($A103="", "", 'Hareket Girişi'!D105)</f>
        <v/>
      </c>
      <c r="E103" s="27">
        <f>IF($A103="", "", 'Hareket Girişi'!E105)</f>
        <v/>
      </c>
      <c r="F103" s="27">
        <f>IF($A103="", "", D103-E103)</f>
        <v/>
      </c>
    </row>
    <row r="104">
      <c r="A104" s="11">
        <f>IF('Hareket Girişi'!F106=2,'Hareket Girişi'!A106,"")</f>
        <v/>
      </c>
      <c r="B104">
        <f>IF($A104="", "", 'Hareket Girişi'!B106)</f>
        <v/>
      </c>
      <c r="C104">
        <f>IF($A104="", "", 'Hareket Girişi'!C106)</f>
        <v/>
      </c>
      <c r="D104" s="27">
        <f>IF($A104="", "", 'Hareket Girişi'!D106)</f>
        <v/>
      </c>
      <c r="E104" s="27">
        <f>IF($A104="", "", 'Hareket Girişi'!E106)</f>
        <v/>
      </c>
      <c r="F104" s="27">
        <f>IF($A104="", "", D104-E104)</f>
        <v/>
      </c>
    </row>
    <row r="105">
      <c r="A105" s="11">
        <f>IF('Hareket Girişi'!F107=2,'Hareket Girişi'!A107,"")</f>
        <v/>
      </c>
      <c r="B105">
        <f>IF($A105="", "", 'Hareket Girişi'!B107)</f>
        <v/>
      </c>
      <c r="C105">
        <f>IF($A105="", "", 'Hareket Girişi'!C107)</f>
        <v/>
      </c>
      <c r="D105" s="27">
        <f>IF($A105="", "", 'Hareket Girişi'!D107)</f>
        <v/>
      </c>
      <c r="E105" s="27">
        <f>IF($A105="", "", 'Hareket Girişi'!E107)</f>
        <v/>
      </c>
      <c r="F105" s="27">
        <f>IF($A105="", "", D105-E105)</f>
        <v/>
      </c>
    </row>
    <row r="106">
      <c r="A106" s="11">
        <f>IF('Hareket Girişi'!F108=2,'Hareket Girişi'!A108,"")</f>
        <v/>
      </c>
      <c r="B106">
        <f>IF($A106="", "", 'Hareket Girişi'!B108)</f>
        <v/>
      </c>
      <c r="C106">
        <f>IF($A106="", "", 'Hareket Girişi'!C108)</f>
        <v/>
      </c>
      <c r="D106" s="27">
        <f>IF($A106="", "", 'Hareket Girişi'!D108)</f>
        <v/>
      </c>
      <c r="E106" s="27">
        <f>IF($A106="", "", 'Hareket Girişi'!E108)</f>
        <v/>
      </c>
      <c r="F106" s="27">
        <f>IF($A106="", "", D106-E106)</f>
        <v/>
      </c>
    </row>
    <row r="107">
      <c r="A107" s="11">
        <f>IF('Hareket Girişi'!F109=2,'Hareket Girişi'!A109,"")</f>
        <v/>
      </c>
      <c r="B107">
        <f>IF($A107="", "", 'Hareket Girişi'!B109)</f>
        <v/>
      </c>
      <c r="C107">
        <f>IF($A107="", "", 'Hareket Girişi'!C109)</f>
        <v/>
      </c>
      <c r="D107" s="27">
        <f>IF($A107="", "", 'Hareket Girişi'!D109)</f>
        <v/>
      </c>
      <c r="E107" s="27">
        <f>IF($A107="", "", 'Hareket Girişi'!E109)</f>
        <v/>
      </c>
      <c r="F107" s="27">
        <f>IF($A107="", "", D107-E107)</f>
        <v/>
      </c>
    </row>
    <row r="108">
      <c r="A108" s="11">
        <f>IF('Hareket Girişi'!F110=2,'Hareket Girişi'!A110,"")</f>
        <v/>
      </c>
      <c r="B108">
        <f>IF($A108="", "", 'Hareket Girişi'!B110)</f>
        <v/>
      </c>
      <c r="C108">
        <f>IF($A108="", "", 'Hareket Girişi'!C110)</f>
        <v/>
      </c>
      <c r="D108" s="27">
        <f>IF($A108="", "", 'Hareket Girişi'!D110)</f>
        <v/>
      </c>
      <c r="E108" s="27">
        <f>IF($A108="", "", 'Hareket Girişi'!E110)</f>
        <v/>
      </c>
      <c r="F108" s="27">
        <f>IF($A108="", "", D108-E108)</f>
        <v/>
      </c>
    </row>
    <row r="109">
      <c r="A109" s="11">
        <f>IF('Hareket Girişi'!F111=2,'Hareket Girişi'!A111,"")</f>
        <v/>
      </c>
      <c r="B109">
        <f>IF($A109="", "", 'Hareket Girişi'!B111)</f>
        <v/>
      </c>
      <c r="C109">
        <f>IF($A109="", "", 'Hareket Girişi'!C111)</f>
        <v/>
      </c>
      <c r="D109" s="27">
        <f>IF($A109="", "", 'Hareket Girişi'!D111)</f>
        <v/>
      </c>
      <c r="E109" s="27">
        <f>IF($A109="", "", 'Hareket Girişi'!E111)</f>
        <v/>
      </c>
      <c r="F109" s="27">
        <f>IF($A109="", "", D109-E109)</f>
        <v/>
      </c>
    </row>
    <row r="110">
      <c r="A110" s="11">
        <f>IF('Hareket Girişi'!F112=2,'Hareket Girişi'!A112,"")</f>
        <v/>
      </c>
      <c r="B110">
        <f>IF($A110="", "", 'Hareket Girişi'!B112)</f>
        <v/>
      </c>
      <c r="C110">
        <f>IF($A110="", "", 'Hareket Girişi'!C112)</f>
        <v/>
      </c>
      <c r="D110" s="27">
        <f>IF($A110="", "", 'Hareket Girişi'!D112)</f>
        <v/>
      </c>
      <c r="E110" s="27">
        <f>IF($A110="", "", 'Hareket Girişi'!E112)</f>
        <v/>
      </c>
      <c r="F110" s="27">
        <f>IF($A110="", "", D110-E110)</f>
        <v/>
      </c>
    </row>
    <row r="111">
      <c r="A111" s="11">
        <f>IF('Hareket Girişi'!F113=2,'Hareket Girişi'!A113,"")</f>
        <v/>
      </c>
      <c r="B111">
        <f>IF($A111="", "", 'Hareket Girişi'!B113)</f>
        <v/>
      </c>
      <c r="C111">
        <f>IF($A111="", "", 'Hareket Girişi'!C113)</f>
        <v/>
      </c>
      <c r="D111" s="27">
        <f>IF($A111="", "", 'Hareket Girişi'!D113)</f>
        <v/>
      </c>
      <c r="E111" s="27">
        <f>IF($A111="", "", 'Hareket Girişi'!E113)</f>
        <v/>
      </c>
      <c r="F111" s="27">
        <f>IF($A111="", "", D111-E111)</f>
        <v/>
      </c>
    </row>
    <row r="112">
      <c r="A112" s="11">
        <f>IF('Hareket Girişi'!F114=2,'Hareket Girişi'!A114,"")</f>
        <v/>
      </c>
      <c r="B112">
        <f>IF($A112="", "", 'Hareket Girişi'!B114)</f>
        <v/>
      </c>
      <c r="C112">
        <f>IF($A112="", "", 'Hareket Girişi'!C114)</f>
        <v/>
      </c>
      <c r="D112" s="27">
        <f>IF($A112="", "", 'Hareket Girişi'!D114)</f>
        <v/>
      </c>
      <c r="E112" s="27">
        <f>IF($A112="", "", 'Hareket Girişi'!E114)</f>
        <v/>
      </c>
      <c r="F112" s="27">
        <f>IF($A112="", "", D112-E112)</f>
        <v/>
      </c>
    </row>
    <row r="113">
      <c r="A113" s="11">
        <f>IF('Hareket Girişi'!F115=2,'Hareket Girişi'!A115,"")</f>
        <v/>
      </c>
      <c r="B113">
        <f>IF($A113="", "", 'Hareket Girişi'!B115)</f>
        <v/>
      </c>
      <c r="C113">
        <f>IF($A113="", "", 'Hareket Girişi'!C115)</f>
        <v/>
      </c>
      <c r="D113" s="27">
        <f>IF($A113="", "", 'Hareket Girişi'!D115)</f>
        <v/>
      </c>
      <c r="E113" s="27">
        <f>IF($A113="", "", 'Hareket Girişi'!E115)</f>
        <v/>
      </c>
      <c r="F113" s="27">
        <f>IF($A113="", "", D113-E113)</f>
        <v/>
      </c>
    </row>
    <row r="114">
      <c r="A114" s="11">
        <f>IF('Hareket Girişi'!F116=2,'Hareket Girişi'!A116,"")</f>
        <v/>
      </c>
      <c r="B114">
        <f>IF($A114="", "", 'Hareket Girişi'!B116)</f>
        <v/>
      </c>
      <c r="C114">
        <f>IF($A114="", "", 'Hareket Girişi'!C116)</f>
        <v/>
      </c>
      <c r="D114" s="27">
        <f>IF($A114="", "", 'Hareket Girişi'!D116)</f>
        <v/>
      </c>
      <c r="E114" s="27">
        <f>IF($A114="", "", 'Hareket Girişi'!E116)</f>
        <v/>
      </c>
      <c r="F114" s="27">
        <f>IF($A114="", "", D114-E114)</f>
        <v/>
      </c>
    </row>
    <row r="115">
      <c r="A115" s="11">
        <f>IF('Hareket Girişi'!F117=2,'Hareket Girişi'!A117,"")</f>
        <v/>
      </c>
      <c r="B115">
        <f>IF($A115="", "", 'Hareket Girişi'!B117)</f>
        <v/>
      </c>
      <c r="C115">
        <f>IF($A115="", "", 'Hareket Girişi'!C117)</f>
        <v/>
      </c>
      <c r="D115" s="27">
        <f>IF($A115="", "", 'Hareket Girişi'!D117)</f>
        <v/>
      </c>
      <c r="E115" s="27">
        <f>IF($A115="", "", 'Hareket Girişi'!E117)</f>
        <v/>
      </c>
      <c r="F115" s="27">
        <f>IF($A115="", "", D115-E115)</f>
        <v/>
      </c>
    </row>
    <row r="116">
      <c r="A116" s="11">
        <f>IF('Hareket Girişi'!F118=2,'Hareket Girişi'!A118,"")</f>
        <v/>
      </c>
      <c r="B116">
        <f>IF($A116="", "", 'Hareket Girişi'!B118)</f>
        <v/>
      </c>
      <c r="C116">
        <f>IF($A116="", "", 'Hareket Girişi'!C118)</f>
        <v/>
      </c>
      <c r="D116" s="27">
        <f>IF($A116="", "", 'Hareket Girişi'!D118)</f>
        <v/>
      </c>
      <c r="E116" s="27">
        <f>IF($A116="", "", 'Hareket Girişi'!E118)</f>
        <v/>
      </c>
      <c r="F116" s="27">
        <f>IF($A116="", "", D116-E116)</f>
        <v/>
      </c>
    </row>
    <row r="117">
      <c r="A117" s="11">
        <f>IF('Hareket Girişi'!F119=2,'Hareket Girişi'!A119,"")</f>
        <v/>
      </c>
      <c r="B117">
        <f>IF($A117="", "", 'Hareket Girişi'!B119)</f>
        <v/>
      </c>
      <c r="C117">
        <f>IF($A117="", "", 'Hareket Girişi'!C119)</f>
        <v/>
      </c>
      <c r="D117" s="27">
        <f>IF($A117="", "", 'Hareket Girişi'!D119)</f>
        <v/>
      </c>
      <c r="E117" s="27">
        <f>IF($A117="", "", 'Hareket Girişi'!E119)</f>
        <v/>
      </c>
      <c r="F117" s="27">
        <f>IF($A117="", "", D117-E117)</f>
        <v/>
      </c>
    </row>
    <row r="118">
      <c r="A118" s="11">
        <f>IF('Hareket Girişi'!F120=2,'Hareket Girişi'!A120,"")</f>
        <v/>
      </c>
      <c r="B118">
        <f>IF($A118="", "", 'Hareket Girişi'!B120)</f>
        <v/>
      </c>
      <c r="C118">
        <f>IF($A118="", "", 'Hareket Girişi'!C120)</f>
        <v/>
      </c>
      <c r="D118" s="27">
        <f>IF($A118="", "", 'Hareket Girişi'!D120)</f>
        <v/>
      </c>
      <c r="E118" s="27">
        <f>IF($A118="", "", 'Hareket Girişi'!E120)</f>
        <v/>
      </c>
      <c r="F118" s="27">
        <f>IF($A118="", "", D118-E118)</f>
        <v/>
      </c>
    </row>
    <row r="119">
      <c r="A119" s="11">
        <f>IF('Hareket Girişi'!F121=2,'Hareket Girişi'!A121,"")</f>
        <v/>
      </c>
      <c r="B119">
        <f>IF($A119="", "", 'Hareket Girişi'!B121)</f>
        <v/>
      </c>
      <c r="C119">
        <f>IF($A119="", "", 'Hareket Girişi'!C121)</f>
        <v/>
      </c>
      <c r="D119" s="27">
        <f>IF($A119="", "", 'Hareket Girişi'!D121)</f>
        <v/>
      </c>
      <c r="E119" s="27">
        <f>IF($A119="", "", 'Hareket Girişi'!E121)</f>
        <v/>
      </c>
      <c r="F119" s="27">
        <f>IF($A119="", "", D119-E119)</f>
        <v/>
      </c>
    </row>
    <row r="120">
      <c r="A120" s="11">
        <f>IF('Hareket Girişi'!F122=2,'Hareket Girişi'!A122,"")</f>
        <v/>
      </c>
      <c r="B120">
        <f>IF($A120="", "", 'Hareket Girişi'!B122)</f>
        <v/>
      </c>
      <c r="C120">
        <f>IF($A120="", "", 'Hareket Girişi'!C122)</f>
        <v/>
      </c>
      <c r="D120" s="27">
        <f>IF($A120="", "", 'Hareket Girişi'!D122)</f>
        <v/>
      </c>
      <c r="E120" s="27">
        <f>IF($A120="", "", 'Hareket Girişi'!E122)</f>
        <v/>
      </c>
      <c r="F120" s="27">
        <f>IF($A120="", "", D120-E120)</f>
        <v/>
      </c>
    </row>
    <row r="121">
      <c r="A121" s="11">
        <f>IF('Hareket Girişi'!F123=2,'Hareket Girişi'!A123,"")</f>
        <v/>
      </c>
      <c r="B121">
        <f>IF($A121="", "", 'Hareket Girişi'!B123)</f>
        <v/>
      </c>
      <c r="C121">
        <f>IF($A121="", "", 'Hareket Girişi'!C123)</f>
        <v/>
      </c>
      <c r="D121" s="27">
        <f>IF($A121="", "", 'Hareket Girişi'!D123)</f>
        <v/>
      </c>
      <c r="E121" s="27">
        <f>IF($A121="", "", 'Hareket Girişi'!E123)</f>
        <v/>
      </c>
      <c r="F121" s="27">
        <f>IF($A121="", "", D121-E121)</f>
        <v/>
      </c>
    </row>
    <row r="122">
      <c r="A122" s="11">
        <f>IF('Hareket Girişi'!F124=2,'Hareket Girişi'!A124,"")</f>
        <v/>
      </c>
      <c r="B122">
        <f>IF($A122="", "", 'Hareket Girişi'!B124)</f>
        <v/>
      </c>
      <c r="C122">
        <f>IF($A122="", "", 'Hareket Girişi'!C124)</f>
        <v/>
      </c>
      <c r="D122" s="27">
        <f>IF($A122="", "", 'Hareket Girişi'!D124)</f>
        <v/>
      </c>
      <c r="E122" s="27">
        <f>IF($A122="", "", 'Hareket Girişi'!E124)</f>
        <v/>
      </c>
      <c r="F122" s="27">
        <f>IF($A122="", "", D122-E122)</f>
        <v/>
      </c>
    </row>
    <row r="123">
      <c r="A123" s="11">
        <f>IF('Hareket Girişi'!F125=2,'Hareket Girişi'!A125,"")</f>
        <v/>
      </c>
      <c r="B123">
        <f>IF($A123="", "", 'Hareket Girişi'!B125)</f>
        <v/>
      </c>
      <c r="C123">
        <f>IF($A123="", "", 'Hareket Girişi'!C125)</f>
        <v/>
      </c>
      <c r="D123" s="27">
        <f>IF($A123="", "", 'Hareket Girişi'!D125)</f>
        <v/>
      </c>
      <c r="E123" s="27">
        <f>IF($A123="", "", 'Hareket Girişi'!E125)</f>
        <v/>
      </c>
      <c r="F123" s="27">
        <f>IF($A123="", "", D123-E123)</f>
        <v/>
      </c>
    </row>
    <row r="124">
      <c r="A124" s="11">
        <f>IF('Hareket Girişi'!F126=2,'Hareket Girişi'!A126,"")</f>
        <v/>
      </c>
      <c r="B124">
        <f>IF($A124="", "", 'Hareket Girişi'!B126)</f>
        <v/>
      </c>
      <c r="C124">
        <f>IF($A124="", "", 'Hareket Girişi'!C126)</f>
        <v/>
      </c>
      <c r="D124" s="27">
        <f>IF($A124="", "", 'Hareket Girişi'!D126)</f>
        <v/>
      </c>
      <c r="E124" s="27">
        <f>IF($A124="", "", 'Hareket Girişi'!E126)</f>
        <v/>
      </c>
      <c r="F124" s="27">
        <f>IF($A124="", "", D124-E124)</f>
        <v/>
      </c>
    </row>
    <row r="125">
      <c r="A125" s="11">
        <f>IF('Hareket Girişi'!F127=2,'Hareket Girişi'!A127,"")</f>
        <v/>
      </c>
      <c r="B125">
        <f>IF($A125="", "", 'Hareket Girişi'!B127)</f>
        <v/>
      </c>
      <c r="C125">
        <f>IF($A125="", "", 'Hareket Girişi'!C127)</f>
        <v/>
      </c>
      <c r="D125" s="27">
        <f>IF($A125="", "", 'Hareket Girişi'!D127)</f>
        <v/>
      </c>
      <c r="E125" s="27">
        <f>IF($A125="", "", 'Hareket Girişi'!E127)</f>
        <v/>
      </c>
      <c r="F125" s="27">
        <f>IF($A125="", "", D125-E125)</f>
        <v/>
      </c>
    </row>
    <row r="126">
      <c r="A126" s="11">
        <f>IF('Hareket Girişi'!F128=2,'Hareket Girişi'!A128,"")</f>
        <v/>
      </c>
      <c r="B126">
        <f>IF($A126="", "", 'Hareket Girişi'!B128)</f>
        <v/>
      </c>
      <c r="C126">
        <f>IF($A126="", "", 'Hareket Girişi'!C128)</f>
        <v/>
      </c>
      <c r="D126" s="27">
        <f>IF($A126="", "", 'Hareket Girişi'!D128)</f>
        <v/>
      </c>
      <c r="E126" s="27">
        <f>IF($A126="", "", 'Hareket Girişi'!E128)</f>
        <v/>
      </c>
      <c r="F126" s="27">
        <f>IF($A126="", "", D126-E126)</f>
        <v/>
      </c>
    </row>
    <row r="127">
      <c r="A127" s="11">
        <f>IF('Hareket Girişi'!F129=2,'Hareket Girişi'!A129,"")</f>
        <v/>
      </c>
      <c r="B127">
        <f>IF($A127="", "", 'Hareket Girişi'!B129)</f>
        <v/>
      </c>
      <c r="C127">
        <f>IF($A127="", "", 'Hareket Girişi'!C129)</f>
        <v/>
      </c>
      <c r="D127" s="27">
        <f>IF($A127="", "", 'Hareket Girişi'!D129)</f>
        <v/>
      </c>
      <c r="E127" s="27">
        <f>IF($A127="", "", 'Hareket Girişi'!E129)</f>
        <v/>
      </c>
      <c r="F127" s="27">
        <f>IF($A127="", "", D127-E127)</f>
        <v/>
      </c>
    </row>
    <row r="128">
      <c r="A128" s="11">
        <f>IF('Hareket Girişi'!F130=2,'Hareket Girişi'!A130,"")</f>
        <v/>
      </c>
      <c r="B128">
        <f>IF($A128="", "", 'Hareket Girişi'!B130)</f>
        <v/>
      </c>
      <c r="C128">
        <f>IF($A128="", "", 'Hareket Girişi'!C130)</f>
        <v/>
      </c>
      <c r="D128" s="27">
        <f>IF($A128="", "", 'Hareket Girişi'!D130)</f>
        <v/>
      </c>
      <c r="E128" s="27">
        <f>IF($A128="", "", 'Hareket Girişi'!E130)</f>
        <v/>
      </c>
      <c r="F128" s="27">
        <f>IF($A128="", "", D128-E128)</f>
        <v/>
      </c>
    </row>
    <row r="129">
      <c r="A129" s="11">
        <f>IF('Hareket Girişi'!F131=2,'Hareket Girişi'!A131,"")</f>
        <v/>
      </c>
      <c r="B129">
        <f>IF($A129="", "", 'Hareket Girişi'!B131)</f>
        <v/>
      </c>
      <c r="C129">
        <f>IF($A129="", "", 'Hareket Girişi'!C131)</f>
        <v/>
      </c>
      <c r="D129" s="27">
        <f>IF($A129="", "", 'Hareket Girişi'!D131)</f>
        <v/>
      </c>
      <c r="E129" s="27">
        <f>IF($A129="", "", 'Hareket Girişi'!E131)</f>
        <v/>
      </c>
      <c r="F129" s="27">
        <f>IF($A129="", "", D129-E129)</f>
        <v/>
      </c>
    </row>
    <row r="130">
      <c r="A130" s="11">
        <f>IF('Hareket Girişi'!F132=2,'Hareket Girişi'!A132,"")</f>
        <v/>
      </c>
      <c r="B130">
        <f>IF($A130="", "", 'Hareket Girişi'!B132)</f>
        <v/>
      </c>
      <c r="C130">
        <f>IF($A130="", "", 'Hareket Girişi'!C132)</f>
        <v/>
      </c>
      <c r="D130" s="27">
        <f>IF($A130="", "", 'Hareket Girişi'!D132)</f>
        <v/>
      </c>
      <c r="E130" s="27">
        <f>IF($A130="", "", 'Hareket Girişi'!E132)</f>
        <v/>
      </c>
      <c r="F130" s="27">
        <f>IF($A130="", "", D130-E130)</f>
        <v/>
      </c>
    </row>
    <row r="131">
      <c r="A131" s="11">
        <f>IF('Hareket Girişi'!F133=2,'Hareket Girişi'!A133,"")</f>
        <v/>
      </c>
      <c r="B131">
        <f>IF($A131="", "", 'Hareket Girişi'!B133)</f>
        <v/>
      </c>
      <c r="C131">
        <f>IF($A131="", "", 'Hareket Girişi'!C133)</f>
        <v/>
      </c>
      <c r="D131" s="27">
        <f>IF($A131="", "", 'Hareket Girişi'!D133)</f>
        <v/>
      </c>
      <c r="E131" s="27">
        <f>IF($A131="", "", 'Hareket Girişi'!E133)</f>
        <v/>
      </c>
      <c r="F131" s="27">
        <f>IF($A131="", "", D131-E131)</f>
        <v/>
      </c>
    </row>
    <row r="132">
      <c r="A132" s="11">
        <f>IF('Hareket Girişi'!F134=2,'Hareket Girişi'!A134,"")</f>
        <v/>
      </c>
      <c r="B132">
        <f>IF($A132="", "", 'Hareket Girişi'!B134)</f>
        <v/>
      </c>
      <c r="C132">
        <f>IF($A132="", "", 'Hareket Girişi'!C134)</f>
        <v/>
      </c>
      <c r="D132" s="27">
        <f>IF($A132="", "", 'Hareket Girişi'!D134)</f>
        <v/>
      </c>
      <c r="E132" s="27">
        <f>IF($A132="", "", 'Hareket Girişi'!E134)</f>
        <v/>
      </c>
      <c r="F132" s="27">
        <f>IF($A132="", "", D132-E132)</f>
        <v/>
      </c>
    </row>
    <row r="133">
      <c r="A133" s="11">
        <f>IF('Hareket Girişi'!F135=2,'Hareket Girişi'!A135,"")</f>
        <v/>
      </c>
      <c r="B133">
        <f>IF($A133="", "", 'Hareket Girişi'!B135)</f>
        <v/>
      </c>
      <c r="C133">
        <f>IF($A133="", "", 'Hareket Girişi'!C135)</f>
        <v/>
      </c>
      <c r="D133" s="27">
        <f>IF($A133="", "", 'Hareket Girişi'!D135)</f>
        <v/>
      </c>
      <c r="E133" s="27">
        <f>IF($A133="", "", 'Hareket Girişi'!E135)</f>
        <v/>
      </c>
      <c r="F133" s="27">
        <f>IF($A133="", "", D133-E133)</f>
        <v/>
      </c>
    </row>
    <row r="134">
      <c r="A134" s="11">
        <f>IF('Hareket Girişi'!F136=2,'Hareket Girişi'!A136,"")</f>
        <v/>
      </c>
      <c r="B134">
        <f>IF($A134="", "", 'Hareket Girişi'!B136)</f>
        <v/>
      </c>
      <c r="C134">
        <f>IF($A134="", "", 'Hareket Girişi'!C136)</f>
        <v/>
      </c>
      <c r="D134" s="27">
        <f>IF($A134="", "", 'Hareket Girişi'!D136)</f>
        <v/>
      </c>
      <c r="E134" s="27">
        <f>IF($A134="", "", 'Hareket Girişi'!E136)</f>
        <v/>
      </c>
      <c r="F134" s="27">
        <f>IF($A134="", "", D134-E134)</f>
        <v/>
      </c>
    </row>
    <row r="135">
      <c r="A135" s="11">
        <f>IF('Hareket Girişi'!F137=2,'Hareket Girişi'!A137,"")</f>
        <v/>
      </c>
      <c r="B135">
        <f>IF($A135="", "", 'Hareket Girişi'!B137)</f>
        <v/>
      </c>
      <c r="C135">
        <f>IF($A135="", "", 'Hareket Girişi'!C137)</f>
        <v/>
      </c>
      <c r="D135" s="27">
        <f>IF($A135="", "", 'Hareket Girişi'!D137)</f>
        <v/>
      </c>
      <c r="E135" s="27">
        <f>IF($A135="", "", 'Hareket Girişi'!E137)</f>
        <v/>
      </c>
      <c r="F135" s="27">
        <f>IF($A135="", "", D135-E135)</f>
        <v/>
      </c>
    </row>
    <row r="136">
      <c r="A136" s="11">
        <f>IF('Hareket Girişi'!F138=2,'Hareket Girişi'!A138,"")</f>
        <v/>
      </c>
      <c r="B136">
        <f>IF($A136="", "", 'Hareket Girişi'!B138)</f>
        <v/>
      </c>
      <c r="C136">
        <f>IF($A136="", "", 'Hareket Girişi'!C138)</f>
        <v/>
      </c>
      <c r="D136" s="27">
        <f>IF($A136="", "", 'Hareket Girişi'!D138)</f>
        <v/>
      </c>
      <c r="E136" s="27">
        <f>IF($A136="", "", 'Hareket Girişi'!E138)</f>
        <v/>
      </c>
      <c r="F136" s="27">
        <f>IF($A136="", "", D136-E136)</f>
        <v/>
      </c>
    </row>
    <row r="137">
      <c r="A137" s="11">
        <f>IF('Hareket Girişi'!F139=2,'Hareket Girişi'!A139,"")</f>
        <v/>
      </c>
      <c r="B137">
        <f>IF($A137="", "", 'Hareket Girişi'!B139)</f>
        <v/>
      </c>
      <c r="C137">
        <f>IF($A137="", "", 'Hareket Girişi'!C139)</f>
        <v/>
      </c>
      <c r="D137" s="27">
        <f>IF($A137="", "", 'Hareket Girişi'!D139)</f>
        <v/>
      </c>
      <c r="E137" s="27">
        <f>IF($A137="", "", 'Hareket Girişi'!E139)</f>
        <v/>
      </c>
      <c r="F137" s="27">
        <f>IF($A137="", "", D137-E137)</f>
        <v/>
      </c>
    </row>
    <row r="138">
      <c r="A138" s="11">
        <f>IF('Hareket Girişi'!F140=2,'Hareket Girişi'!A140,"")</f>
        <v/>
      </c>
      <c r="B138">
        <f>IF($A138="", "", 'Hareket Girişi'!B140)</f>
        <v/>
      </c>
      <c r="C138">
        <f>IF($A138="", "", 'Hareket Girişi'!C140)</f>
        <v/>
      </c>
      <c r="D138" s="27">
        <f>IF($A138="", "", 'Hareket Girişi'!D140)</f>
        <v/>
      </c>
      <c r="E138" s="27">
        <f>IF($A138="", "", 'Hareket Girişi'!E140)</f>
        <v/>
      </c>
      <c r="F138" s="27">
        <f>IF($A138="", "", D138-E138)</f>
        <v/>
      </c>
    </row>
    <row r="139">
      <c r="A139" s="11">
        <f>IF('Hareket Girişi'!F141=2,'Hareket Girişi'!A141,"")</f>
        <v/>
      </c>
      <c r="B139">
        <f>IF($A139="", "", 'Hareket Girişi'!B141)</f>
        <v/>
      </c>
      <c r="C139">
        <f>IF($A139="", "", 'Hareket Girişi'!C141)</f>
        <v/>
      </c>
      <c r="D139" s="27">
        <f>IF($A139="", "", 'Hareket Girişi'!D141)</f>
        <v/>
      </c>
      <c r="E139" s="27">
        <f>IF($A139="", "", 'Hareket Girişi'!E141)</f>
        <v/>
      </c>
      <c r="F139" s="27">
        <f>IF($A139="", "", D139-E139)</f>
        <v/>
      </c>
    </row>
    <row r="140">
      <c r="A140" s="11">
        <f>IF('Hareket Girişi'!F142=2,'Hareket Girişi'!A142,"")</f>
        <v/>
      </c>
      <c r="B140">
        <f>IF($A140="", "", 'Hareket Girişi'!B142)</f>
        <v/>
      </c>
      <c r="C140">
        <f>IF($A140="", "", 'Hareket Girişi'!C142)</f>
        <v/>
      </c>
      <c r="D140" s="27">
        <f>IF($A140="", "", 'Hareket Girişi'!D142)</f>
        <v/>
      </c>
      <c r="E140" s="27">
        <f>IF($A140="", "", 'Hareket Girişi'!E142)</f>
        <v/>
      </c>
      <c r="F140" s="27">
        <f>IF($A140="", "", D140-E140)</f>
        <v/>
      </c>
    </row>
    <row r="141">
      <c r="A141" s="11">
        <f>IF('Hareket Girişi'!F143=2,'Hareket Girişi'!A143,"")</f>
        <v/>
      </c>
      <c r="B141">
        <f>IF($A141="", "", 'Hareket Girişi'!B143)</f>
        <v/>
      </c>
      <c r="C141">
        <f>IF($A141="", "", 'Hareket Girişi'!C143)</f>
        <v/>
      </c>
      <c r="D141" s="27">
        <f>IF($A141="", "", 'Hareket Girişi'!D143)</f>
        <v/>
      </c>
      <c r="E141" s="27">
        <f>IF($A141="", "", 'Hareket Girişi'!E143)</f>
        <v/>
      </c>
      <c r="F141" s="27">
        <f>IF($A141="", "", D141-E141)</f>
        <v/>
      </c>
    </row>
    <row r="142">
      <c r="A142" s="11">
        <f>IF('Hareket Girişi'!F144=2,'Hareket Girişi'!A144,"")</f>
        <v/>
      </c>
      <c r="B142">
        <f>IF($A142="", "", 'Hareket Girişi'!B144)</f>
        <v/>
      </c>
      <c r="C142">
        <f>IF($A142="", "", 'Hareket Girişi'!C144)</f>
        <v/>
      </c>
      <c r="D142" s="27">
        <f>IF($A142="", "", 'Hareket Girişi'!D144)</f>
        <v/>
      </c>
      <c r="E142" s="27">
        <f>IF($A142="", "", 'Hareket Girişi'!E144)</f>
        <v/>
      </c>
      <c r="F142" s="27">
        <f>IF($A142="", "", D142-E142)</f>
        <v/>
      </c>
    </row>
    <row r="143">
      <c r="A143" s="11">
        <f>IF('Hareket Girişi'!F145=2,'Hareket Girişi'!A145,"")</f>
        <v/>
      </c>
      <c r="B143">
        <f>IF($A143="", "", 'Hareket Girişi'!B145)</f>
        <v/>
      </c>
      <c r="C143">
        <f>IF($A143="", "", 'Hareket Girişi'!C145)</f>
        <v/>
      </c>
      <c r="D143" s="27">
        <f>IF($A143="", "", 'Hareket Girişi'!D145)</f>
        <v/>
      </c>
      <c r="E143" s="27">
        <f>IF($A143="", "", 'Hareket Girişi'!E145)</f>
        <v/>
      </c>
      <c r="F143" s="27">
        <f>IF($A143="", "", D143-E143)</f>
        <v/>
      </c>
    </row>
    <row r="144">
      <c r="A144" s="11">
        <f>IF('Hareket Girişi'!F146=2,'Hareket Girişi'!A146,"")</f>
        <v/>
      </c>
      <c r="B144">
        <f>IF($A144="", "", 'Hareket Girişi'!B146)</f>
        <v/>
      </c>
      <c r="C144">
        <f>IF($A144="", "", 'Hareket Girişi'!C146)</f>
        <v/>
      </c>
      <c r="D144" s="27">
        <f>IF($A144="", "", 'Hareket Girişi'!D146)</f>
        <v/>
      </c>
      <c r="E144" s="27">
        <f>IF($A144="", "", 'Hareket Girişi'!E146)</f>
        <v/>
      </c>
      <c r="F144" s="27">
        <f>IF($A144="", "", D144-E144)</f>
        <v/>
      </c>
    </row>
    <row r="145">
      <c r="A145" s="11">
        <f>IF('Hareket Girişi'!F147=2,'Hareket Girişi'!A147,"")</f>
        <v/>
      </c>
      <c r="B145">
        <f>IF($A145="", "", 'Hareket Girişi'!B147)</f>
        <v/>
      </c>
      <c r="C145">
        <f>IF($A145="", "", 'Hareket Girişi'!C147)</f>
        <v/>
      </c>
      <c r="D145" s="27">
        <f>IF($A145="", "", 'Hareket Girişi'!D147)</f>
        <v/>
      </c>
      <c r="E145" s="27">
        <f>IF($A145="", "", 'Hareket Girişi'!E147)</f>
        <v/>
      </c>
      <c r="F145" s="27">
        <f>IF($A145="", "", D145-E145)</f>
        <v/>
      </c>
    </row>
    <row r="146">
      <c r="A146" s="11">
        <f>IF('Hareket Girişi'!F148=2,'Hareket Girişi'!A148,"")</f>
        <v/>
      </c>
      <c r="B146">
        <f>IF($A146="", "", 'Hareket Girişi'!B148)</f>
        <v/>
      </c>
      <c r="C146">
        <f>IF($A146="", "", 'Hareket Girişi'!C148)</f>
        <v/>
      </c>
      <c r="D146" s="27">
        <f>IF($A146="", "", 'Hareket Girişi'!D148)</f>
        <v/>
      </c>
      <c r="E146" s="27">
        <f>IF($A146="", "", 'Hareket Girişi'!E148)</f>
        <v/>
      </c>
      <c r="F146" s="27">
        <f>IF($A146="", "", D146-E146)</f>
        <v/>
      </c>
    </row>
    <row r="147">
      <c r="A147" s="11">
        <f>IF('Hareket Girişi'!F149=2,'Hareket Girişi'!A149,"")</f>
        <v/>
      </c>
      <c r="B147">
        <f>IF($A147="", "", 'Hareket Girişi'!B149)</f>
        <v/>
      </c>
      <c r="C147">
        <f>IF($A147="", "", 'Hareket Girişi'!C149)</f>
        <v/>
      </c>
      <c r="D147" s="27">
        <f>IF($A147="", "", 'Hareket Girişi'!D149)</f>
        <v/>
      </c>
      <c r="E147" s="27">
        <f>IF($A147="", "", 'Hareket Girişi'!E149)</f>
        <v/>
      </c>
      <c r="F147" s="27">
        <f>IF($A147="", "", D147-E147)</f>
        <v/>
      </c>
    </row>
    <row r="148">
      <c r="A148" s="11">
        <f>IF('Hareket Girişi'!F150=2,'Hareket Girişi'!A150,"")</f>
        <v/>
      </c>
      <c r="B148">
        <f>IF($A148="", "", 'Hareket Girişi'!B150)</f>
        <v/>
      </c>
      <c r="C148">
        <f>IF($A148="", "", 'Hareket Girişi'!C150)</f>
        <v/>
      </c>
      <c r="D148" s="27">
        <f>IF($A148="", "", 'Hareket Girişi'!D150)</f>
        <v/>
      </c>
      <c r="E148" s="27">
        <f>IF($A148="", "", 'Hareket Girişi'!E150)</f>
        <v/>
      </c>
      <c r="F148" s="27">
        <f>IF($A148="", "", D148-E148)</f>
        <v/>
      </c>
    </row>
    <row r="149">
      <c r="A149" s="11">
        <f>IF('Hareket Girişi'!F151=2,'Hareket Girişi'!A151,"")</f>
        <v/>
      </c>
      <c r="B149">
        <f>IF($A149="", "", 'Hareket Girişi'!B151)</f>
        <v/>
      </c>
      <c r="C149">
        <f>IF($A149="", "", 'Hareket Girişi'!C151)</f>
        <v/>
      </c>
      <c r="D149" s="27">
        <f>IF($A149="", "", 'Hareket Girişi'!D151)</f>
        <v/>
      </c>
      <c r="E149" s="27">
        <f>IF($A149="", "", 'Hareket Girişi'!E151)</f>
        <v/>
      </c>
      <c r="F149" s="27">
        <f>IF($A149="", "", D149-E149)</f>
        <v/>
      </c>
    </row>
    <row r="150">
      <c r="A150" s="11">
        <f>IF('Hareket Girişi'!F152=2,'Hareket Girişi'!A152,"")</f>
        <v/>
      </c>
      <c r="B150">
        <f>IF($A150="", "", 'Hareket Girişi'!B152)</f>
        <v/>
      </c>
      <c r="C150">
        <f>IF($A150="", "", 'Hareket Girişi'!C152)</f>
        <v/>
      </c>
      <c r="D150" s="27">
        <f>IF($A150="", "", 'Hareket Girişi'!D152)</f>
        <v/>
      </c>
      <c r="E150" s="27">
        <f>IF($A150="", "", 'Hareket Girişi'!E152)</f>
        <v/>
      </c>
      <c r="F150" s="27">
        <f>IF($A150="", "", D150-E150)</f>
        <v/>
      </c>
    </row>
    <row r="151">
      <c r="A151" s="11">
        <f>IF('Hareket Girişi'!F153=2,'Hareket Girişi'!A153,"")</f>
        <v/>
      </c>
      <c r="B151">
        <f>IF($A151="", "", 'Hareket Girişi'!B153)</f>
        <v/>
      </c>
      <c r="C151">
        <f>IF($A151="", "", 'Hareket Girişi'!C153)</f>
        <v/>
      </c>
      <c r="D151" s="27">
        <f>IF($A151="", "", 'Hareket Girişi'!D153)</f>
        <v/>
      </c>
      <c r="E151" s="27">
        <f>IF($A151="", "", 'Hareket Girişi'!E153)</f>
        <v/>
      </c>
      <c r="F151" s="27">
        <f>IF($A151="", "", D151-E151)</f>
        <v/>
      </c>
    </row>
    <row r="152">
      <c r="A152" s="11">
        <f>IF('Hareket Girişi'!F154=2,'Hareket Girişi'!A154,"")</f>
        <v/>
      </c>
      <c r="B152">
        <f>IF($A152="", "", 'Hareket Girişi'!B154)</f>
        <v/>
      </c>
      <c r="C152">
        <f>IF($A152="", "", 'Hareket Girişi'!C154)</f>
        <v/>
      </c>
      <c r="D152" s="27">
        <f>IF($A152="", "", 'Hareket Girişi'!D154)</f>
        <v/>
      </c>
      <c r="E152" s="27">
        <f>IF($A152="", "", 'Hareket Girişi'!E154)</f>
        <v/>
      </c>
      <c r="F152" s="27">
        <f>IF($A152="", "", D152-E152)</f>
        <v/>
      </c>
    </row>
    <row r="153">
      <c r="A153" s="11">
        <f>IF('Hareket Girişi'!F155=2,'Hareket Girişi'!A155,"")</f>
        <v/>
      </c>
      <c r="B153">
        <f>IF($A153="", "", 'Hareket Girişi'!B155)</f>
        <v/>
      </c>
      <c r="C153">
        <f>IF($A153="", "", 'Hareket Girişi'!C155)</f>
        <v/>
      </c>
      <c r="D153" s="27">
        <f>IF($A153="", "", 'Hareket Girişi'!D155)</f>
        <v/>
      </c>
      <c r="E153" s="27">
        <f>IF($A153="", "", 'Hareket Girişi'!E155)</f>
        <v/>
      </c>
      <c r="F153" s="27">
        <f>IF($A153="", "", D153-E153)</f>
        <v/>
      </c>
    </row>
    <row r="154">
      <c r="A154" s="11">
        <f>IF('Hareket Girişi'!F156=2,'Hareket Girişi'!A156,"")</f>
        <v/>
      </c>
      <c r="B154">
        <f>IF($A154="", "", 'Hareket Girişi'!B156)</f>
        <v/>
      </c>
      <c r="C154">
        <f>IF($A154="", "", 'Hareket Girişi'!C156)</f>
        <v/>
      </c>
      <c r="D154" s="27">
        <f>IF($A154="", "", 'Hareket Girişi'!D156)</f>
        <v/>
      </c>
      <c r="E154" s="27">
        <f>IF($A154="", "", 'Hareket Girişi'!E156)</f>
        <v/>
      </c>
      <c r="F154" s="27">
        <f>IF($A154="", "", D154-E154)</f>
        <v/>
      </c>
    </row>
    <row r="155">
      <c r="A155" s="11">
        <f>IF('Hareket Girişi'!F157=2,'Hareket Girişi'!A157,"")</f>
        <v/>
      </c>
      <c r="B155">
        <f>IF($A155="", "", 'Hareket Girişi'!B157)</f>
        <v/>
      </c>
      <c r="C155">
        <f>IF($A155="", "", 'Hareket Girişi'!C157)</f>
        <v/>
      </c>
      <c r="D155" s="27">
        <f>IF($A155="", "", 'Hareket Girişi'!D157)</f>
        <v/>
      </c>
      <c r="E155" s="27">
        <f>IF($A155="", "", 'Hareket Girişi'!E157)</f>
        <v/>
      </c>
      <c r="F155" s="27">
        <f>IF($A155="", "", D155-E155)</f>
        <v/>
      </c>
    </row>
    <row r="156">
      <c r="A156" s="11">
        <f>IF('Hareket Girişi'!F158=2,'Hareket Girişi'!A158,"")</f>
        <v/>
      </c>
      <c r="B156">
        <f>IF($A156="", "", 'Hareket Girişi'!B158)</f>
        <v/>
      </c>
      <c r="C156">
        <f>IF($A156="", "", 'Hareket Girişi'!C158)</f>
        <v/>
      </c>
      <c r="D156" s="27">
        <f>IF($A156="", "", 'Hareket Girişi'!D158)</f>
        <v/>
      </c>
      <c r="E156" s="27">
        <f>IF($A156="", "", 'Hareket Girişi'!E158)</f>
        <v/>
      </c>
      <c r="F156" s="27">
        <f>IF($A156="", "", D156-E156)</f>
        <v/>
      </c>
    </row>
    <row r="157">
      <c r="A157" s="11">
        <f>IF('Hareket Girişi'!F159=2,'Hareket Girişi'!A159,"")</f>
        <v/>
      </c>
      <c r="B157">
        <f>IF($A157="", "", 'Hareket Girişi'!B159)</f>
        <v/>
      </c>
      <c r="C157">
        <f>IF($A157="", "", 'Hareket Girişi'!C159)</f>
        <v/>
      </c>
      <c r="D157" s="27">
        <f>IF($A157="", "", 'Hareket Girişi'!D159)</f>
        <v/>
      </c>
      <c r="E157" s="27">
        <f>IF($A157="", "", 'Hareket Girişi'!E159)</f>
        <v/>
      </c>
      <c r="F157" s="27">
        <f>IF($A157="", "", D157-E157)</f>
        <v/>
      </c>
    </row>
    <row r="158">
      <c r="A158" s="11">
        <f>IF('Hareket Girişi'!F160=2,'Hareket Girişi'!A160,"")</f>
        <v/>
      </c>
      <c r="B158">
        <f>IF($A158="", "", 'Hareket Girişi'!B160)</f>
        <v/>
      </c>
      <c r="C158">
        <f>IF($A158="", "", 'Hareket Girişi'!C160)</f>
        <v/>
      </c>
      <c r="D158" s="27">
        <f>IF($A158="", "", 'Hareket Girişi'!D160)</f>
        <v/>
      </c>
      <c r="E158" s="27">
        <f>IF($A158="", "", 'Hareket Girişi'!E160)</f>
        <v/>
      </c>
      <c r="F158" s="27">
        <f>IF($A158="", "", D158-E158)</f>
        <v/>
      </c>
    </row>
    <row r="159">
      <c r="A159" s="11">
        <f>IF('Hareket Girişi'!F161=2,'Hareket Girişi'!A161,"")</f>
        <v/>
      </c>
      <c r="B159">
        <f>IF($A159="", "", 'Hareket Girişi'!B161)</f>
        <v/>
      </c>
      <c r="C159">
        <f>IF($A159="", "", 'Hareket Girişi'!C161)</f>
        <v/>
      </c>
      <c r="D159" s="27">
        <f>IF($A159="", "", 'Hareket Girişi'!D161)</f>
        <v/>
      </c>
      <c r="E159" s="27">
        <f>IF($A159="", "", 'Hareket Girişi'!E161)</f>
        <v/>
      </c>
      <c r="F159" s="27">
        <f>IF($A159="", "", D159-E159)</f>
        <v/>
      </c>
    </row>
    <row r="160">
      <c r="A160" s="11">
        <f>IF('Hareket Girişi'!F162=2,'Hareket Girişi'!A162,"")</f>
        <v/>
      </c>
      <c r="B160">
        <f>IF($A160="", "", 'Hareket Girişi'!B162)</f>
        <v/>
      </c>
      <c r="C160">
        <f>IF($A160="", "", 'Hareket Girişi'!C162)</f>
        <v/>
      </c>
      <c r="D160" s="27">
        <f>IF($A160="", "", 'Hareket Girişi'!D162)</f>
        <v/>
      </c>
      <c r="E160" s="27">
        <f>IF($A160="", "", 'Hareket Girişi'!E162)</f>
        <v/>
      </c>
      <c r="F160" s="27">
        <f>IF($A160="", "", D160-E160)</f>
        <v/>
      </c>
    </row>
    <row r="161">
      <c r="A161" s="11">
        <f>IF('Hareket Girişi'!F163=2,'Hareket Girişi'!A163,"")</f>
        <v/>
      </c>
      <c r="B161">
        <f>IF($A161="", "", 'Hareket Girişi'!B163)</f>
        <v/>
      </c>
      <c r="C161">
        <f>IF($A161="", "", 'Hareket Girişi'!C163)</f>
        <v/>
      </c>
      <c r="D161" s="27">
        <f>IF($A161="", "", 'Hareket Girişi'!D163)</f>
        <v/>
      </c>
      <c r="E161" s="27">
        <f>IF($A161="", "", 'Hareket Girişi'!E163)</f>
        <v/>
      </c>
      <c r="F161" s="27">
        <f>IF($A161="", "", D161-E161)</f>
        <v/>
      </c>
    </row>
    <row r="162">
      <c r="A162" s="11">
        <f>IF('Hareket Girişi'!F164=2,'Hareket Girişi'!A164,"")</f>
        <v/>
      </c>
      <c r="B162">
        <f>IF($A162="", "", 'Hareket Girişi'!B164)</f>
        <v/>
      </c>
      <c r="C162">
        <f>IF($A162="", "", 'Hareket Girişi'!C164)</f>
        <v/>
      </c>
      <c r="D162" s="27">
        <f>IF($A162="", "", 'Hareket Girişi'!D164)</f>
        <v/>
      </c>
      <c r="E162" s="27">
        <f>IF($A162="", "", 'Hareket Girişi'!E164)</f>
        <v/>
      </c>
      <c r="F162" s="27">
        <f>IF($A162="", "", D162-E162)</f>
        <v/>
      </c>
    </row>
    <row r="163">
      <c r="A163" s="11">
        <f>IF('Hareket Girişi'!F165=2,'Hareket Girişi'!A165,"")</f>
        <v/>
      </c>
      <c r="B163">
        <f>IF($A163="", "", 'Hareket Girişi'!B165)</f>
        <v/>
      </c>
      <c r="C163">
        <f>IF($A163="", "", 'Hareket Girişi'!C165)</f>
        <v/>
      </c>
      <c r="D163" s="27">
        <f>IF($A163="", "", 'Hareket Girişi'!D165)</f>
        <v/>
      </c>
      <c r="E163" s="27">
        <f>IF($A163="", "", 'Hareket Girişi'!E165)</f>
        <v/>
      </c>
      <c r="F163" s="27">
        <f>IF($A163="", "", D163-E163)</f>
        <v/>
      </c>
    </row>
    <row r="164">
      <c r="A164" s="11">
        <f>IF('Hareket Girişi'!F166=2,'Hareket Girişi'!A166,"")</f>
        <v/>
      </c>
      <c r="B164">
        <f>IF($A164="", "", 'Hareket Girişi'!B166)</f>
        <v/>
      </c>
      <c r="C164">
        <f>IF($A164="", "", 'Hareket Girişi'!C166)</f>
        <v/>
      </c>
      <c r="D164" s="27">
        <f>IF($A164="", "", 'Hareket Girişi'!D166)</f>
        <v/>
      </c>
      <c r="E164" s="27">
        <f>IF($A164="", "", 'Hareket Girişi'!E166)</f>
        <v/>
      </c>
      <c r="F164" s="27">
        <f>IF($A164="", "", D164-E164)</f>
        <v/>
      </c>
    </row>
    <row r="165">
      <c r="A165" s="11">
        <f>IF('Hareket Girişi'!F167=2,'Hareket Girişi'!A167,"")</f>
        <v/>
      </c>
      <c r="B165">
        <f>IF($A165="", "", 'Hareket Girişi'!B167)</f>
        <v/>
      </c>
      <c r="C165">
        <f>IF($A165="", "", 'Hareket Girişi'!C167)</f>
        <v/>
      </c>
      <c r="D165" s="27">
        <f>IF($A165="", "", 'Hareket Girişi'!D167)</f>
        <v/>
      </c>
      <c r="E165" s="27">
        <f>IF($A165="", "", 'Hareket Girişi'!E167)</f>
        <v/>
      </c>
      <c r="F165" s="27">
        <f>IF($A165="", "", D165-E165)</f>
        <v/>
      </c>
    </row>
    <row r="166">
      <c r="A166" s="11">
        <f>IF('Hareket Girişi'!F168=2,'Hareket Girişi'!A168,"")</f>
        <v/>
      </c>
      <c r="B166">
        <f>IF($A166="", "", 'Hareket Girişi'!B168)</f>
        <v/>
      </c>
      <c r="C166">
        <f>IF($A166="", "", 'Hareket Girişi'!C168)</f>
        <v/>
      </c>
      <c r="D166" s="27">
        <f>IF($A166="", "", 'Hareket Girişi'!D168)</f>
        <v/>
      </c>
      <c r="E166" s="27">
        <f>IF($A166="", "", 'Hareket Girişi'!E168)</f>
        <v/>
      </c>
      <c r="F166" s="27">
        <f>IF($A166="", "", D166-E166)</f>
        <v/>
      </c>
    </row>
    <row r="167">
      <c r="A167" s="11">
        <f>IF('Hareket Girişi'!F169=2,'Hareket Girişi'!A169,"")</f>
        <v/>
      </c>
      <c r="B167">
        <f>IF($A167="", "", 'Hareket Girişi'!B169)</f>
        <v/>
      </c>
      <c r="C167">
        <f>IF($A167="", "", 'Hareket Girişi'!C169)</f>
        <v/>
      </c>
      <c r="D167" s="27">
        <f>IF($A167="", "", 'Hareket Girişi'!D169)</f>
        <v/>
      </c>
      <c r="E167" s="27">
        <f>IF($A167="", "", 'Hareket Girişi'!E169)</f>
        <v/>
      </c>
      <c r="F167" s="27">
        <f>IF($A167="", "", D167-E167)</f>
        <v/>
      </c>
    </row>
    <row r="168">
      <c r="A168" s="11">
        <f>IF('Hareket Girişi'!F170=2,'Hareket Girişi'!A170,"")</f>
        <v/>
      </c>
      <c r="B168">
        <f>IF($A168="", "", 'Hareket Girişi'!B170)</f>
        <v/>
      </c>
      <c r="C168">
        <f>IF($A168="", "", 'Hareket Girişi'!C170)</f>
        <v/>
      </c>
      <c r="D168" s="27">
        <f>IF($A168="", "", 'Hareket Girişi'!D170)</f>
        <v/>
      </c>
      <c r="E168" s="27">
        <f>IF($A168="", "", 'Hareket Girişi'!E170)</f>
        <v/>
      </c>
      <c r="F168" s="27">
        <f>IF($A168="", "", D168-E168)</f>
        <v/>
      </c>
    </row>
    <row r="169">
      <c r="A169" s="11">
        <f>IF('Hareket Girişi'!F171=2,'Hareket Girişi'!A171,"")</f>
        <v/>
      </c>
      <c r="B169">
        <f>IF($A169="", "", 'Hareket Girişi'!B171)</f>
        <v/>
      </c>
      <c r="C169">
        <f>IF($A169="", "", 'Hareket Girişi'!C171)</f>
        <v/>
      </c>
      <c r="D169" s="27">
        <f>IF($A169="", "", 'Hareket Girişi'!D171)</f>
        <v/>
      </c>
      <c r="E169" s="27">
        <f>IF($A169="", "", 'Hareket Girişi'!E171)</f>
        <v/>
      </c>
      <c r="F169" s="27">
        <f>IF($A169="", "", D169-E169)</f>
        <v/>
      </c>
    </row>
    <row r="170">
      <c r="A170" s="11">
        <f>IF('Hareket Girişi'!F172=2,'Hareket Girişi'!A172,"")</f>
        <v/>
      </c>
      <c r="B170">
        <f>IF($A170="", "", 'Hareket Girişi'!B172)</f>
        <v/>
      </c>
      <c r="C170">
        <f>IF($A170="", "", 'Hareket Girişi'!C172)</f>
        <v/>
      </c>
      <c r="D170" s="27">
        <f>IF($A170="", "", 'Hareket Girişi'!D172)</f>
        <v/>
      </c>
      <c r="E170" s="27">
        <f>IF($A170="", "", 'Hareket Girişi'!E172)</f>
        <v/>
      </c>
      <c r="F170" s="27">
        <f>IF($A170="", "", D170-E170)</f>
        <v/>
      </c>
    </row>
    <row r="171">
      <c r="A171" s="11">
        <f>IF('Hareket Girişi'!F173=2,'Hareket Girişi'!A173,"")</f>
        <v/>
      </c>
      <c r="B171">
        <f>IF($A171="", "", 'Hareket Girişi'!B173)</f>
        <v/>
      </c>
      <c r="C171">
        <f>IF($A171="", "", 'Hareket Girişi'!C173)</f>
        <v/>
      </c>
      <c r="D171" s="27">
        <f>IF($A171="", "", 'Hareket Girişi'!D173)</f>
        <v/>
      </c>
      <c r="E171" s="27">
        <f>IF($A171="", "", 'Hareket Girişi'!E173)</f>
        <v/>
      </c>
      <c r="F171" s="27">
        <f>IF($A171="", "", D171-E171)</f>
        <v/>
      </c>
    </row>
    <row r="172">
      <c r="A172" s="11">
        <f>IF('Hareket Girişi'!F174=2,'Hareket Girişi'!A174,"")</f>
        <v/>
      </c>
      <c r="B172">
        <f>IF($A172="", "", 'Hareket Girişi'!B174)</f>
        <v/>
      </c>
      <c r="C172">
        <f>IF($A172="", "", 'Hareket Girişi'!C174)</f>
        <v/>
      </c>
      <c r="D172" s="27">
        <f>IF($A172="", "", 'Hareket Girişi'!D174)</f>
        <v/>
      </c>
      <c r="E172" s="27">
        <f>IF($A172="", "", 'Hareket Girişi'!E174)</f>
        <v/>
      </c>
      <c r="F172" s="27">
        <f>IF($A172="", "", D172-E172)</f>
        <v/>
      </c>
    </row>
    <row r="173">
      <c r="A173" s="11">
        <f>IF('Hareket Girişi'!F175=2,'Hareket Girişi'!A175,"")</f>
        <v/>
      </c>
      <c r="B173">
        <f>IF($A173="", "", 'Hareket Girişi'!B175)</f>
        <v/>
      </c>
      <c r="C173">
        <f>IF($A173="", "", 'Hareket Girişi'!C175)</f>
        <v/>
      </c>
      <c r="D173" s="27">
        <f>IF($A173="", "", 'Hareket Girişi'!D175)</f>
        <v/>
      </c>
      <c r="E173" s="27">
        <f>IF($A173="", "", 'Hareket Girişi'!E175)</f>
        <v/>
      </c>
      <c r="F173" s="27">
        <f>IF($A173="", "", D173-E173)</f>
        <v/>
      </c>
    </row>
    <row r="174">
      <c r="A174" s="11">
        <f>IF('Hareket Girişi'!F176=2,'Hareket Girişi'!A176,"")</f>
        <v/>
      </c>
      <c r="B174">
        <f>IF($A174="", "", 'Hareket Girişi'!B176)</f>
        <v/>
      </c>
      <c r="C174">
        <f>IF($A174="", "", 'Hareket Girişi'!C176)</f>
        <v/>
      </c>
      <c r="D174" s="27">
        <f>IF($A174="", "", 'Hareket Girişi'!D176)</f>
        <v/>
      </c>
      <c r="E174" s="27">
        <f>IF($A174="", "", 'Hareket Girişi'!E176)</f>
        <v/>
      </c>
      <c r="F174" s="27">
        <f>IF($A174="", "", D174-E174)</f>
        <v/>
      </c>
    </row>
    <row r="175">
      <c r="A175" s="11">
        <f>IF('Hareket Girişi'!F177=2,'Hareket Girişi'!A177,"")</f>
        <v/>
      </c>
      <c r="B175">
        <f>IF($A175="", "", 'Hareket Girişi'!B177)</f>
        <v/>
      </c>
      <c r="C175">
        <f>IF($A175="", "", 'Hareket Girişi'!C177)</f>
        <v/>
      </c>
      <c r="D175" s="27">
        <f>IF($A175="", "", 'Hareket Girişi'!D177)</f>
        <v/>
      </c>
      <c r="E175" s="27">
        <f>IF($A175="", "", 'Hareket Girişi'!E177)</f>
        <v/>
      </c>
      <c r="F175" s="27">
        <f>IF($A175="", "", D175-E175)</f>
        <v/>
      </c>
    </row>
    <row r="176">
      <c r="A176" s="11">
        <f>IF('Hareket Girişi'!F178=2,'Hareket Girişi'!A178,"")</f>
        <v/>
      </c>
      <c r="B176">
        <f>IF($A176="", "", 'Hareket Girişi'!B178)</f>
        <v/>
      </c>
      <c r="C176">
        <f>IF($A176="", "", 'Hareket Girişi'!C178)</f>
        <v/>
      </c>
      <c r="D176" s="27">
        <f>IF($A176="", "", 'Hareket Girişi'!D178)</f>
        <v/>
      </c>
      <c r="E176" s="27">
        <f>IF($A176="", "", 'Hareket Girişi'!E178)</f>
        <v/>
      </c>
      <c r="F176" s="27">
        <f>IF($A176="", "", D176-E176)</f>
        <v/>
      </c>
    </row>
    <row r="177">
      <c r="A177" s="11">
        <f>IF('Hareket Girişi'!F179=2,'Hareket Girişi'!A179,"")</f>
        <v/>
      </c>
      <c r="B177">
        <f>IF($A177="", "", 'Hareket Girişi'!B179)</f>
        <v/>
      </c>
      <c r="C177">
        <f>IF($A177="", "", 'Hareket Girişi'!C179)</f>
        <v/>
      </c>
      <c r="D177" s="27">
        <f>IF($A177="", "", 'Hareket Girişi'!D179)</f>
        <v/>
      </c>
      <c r="E177" s="27">
        <f>IF($A177="", "", 'Hareket Girişi'!E179)</f>
        <v/>
      </c>
      <c r="F177" s="27">
        <f>IF($A177="", "", D177-E177)</f>
        <v/>
      </c>
    </row>
    <row r="178">
      <c r="A178" s="11">
        <f>IF('Hareket Girişi'!F180=2,'Hareket Girişi'!A180,"")</f>
        <v/>
      </c>
      <c r="B178">
        <f>IF($A178="", "", 'Hareket Girişi'!B180)</f>
        <v/>
      </c>
      <c r="C178">
        <f>IF($A178="", "", 'Hareket Girişi'!C180)</f>
        <v/>
      </c>
      <c r="D178" s="27">
        <f>IF($A178="", "", 'Hareket Girişi'!D180)</f>
        <v/>
      </c>
      <c r="E178" s="27">
        <f>IF($A178="", "", 'Hareket Girişi'!E180)</f>
        <v/>
      </c>
      <c r="F178" s="27">
        <f>IF($A178="", "", D178-E178)</f>
        <v/>
      </c>
    </row>
    <row r="179">
      <c r="A179" s="11">
        <f>IF('Hareket Girişi'!F181=2,'Hareket Girişi'!A181,"")</f>
        <v/>
      </c>
      <c r="B179">
        <f>IF($A179="", "", 'Hareket Girişi'!B181)</f>
        <v/>
      </c>
      <c r="C179">
        <f>IF($A179="", "", 'Hareket Girişi'!C181)</f>
        <v/>
      </c>
      <c r="D179" s="27">
        <f>IF($A179="", "", 'Hareket Girişi'!D181)</f>
        <v/>
      </c>
      <c r="E179" s="27">
        <f>IF($A179="", "", 'Hareket Girişi'!E181)</f>
        <v/>
      </c>
      <c r="F179" s="27">
        <f>IF($A179="", "", D179-E179)</f>
        <v/>
      </c>
    </row>
    <row r="180">
      <c r="A180" s="11">
        <f>IF('Hareket Girişi'!F182=2,'Hareket Girişi'!A182,"")</f>
        <v/>
      </c>
      <c r="B180">
        <f>IF($A180="", "", 'Hareket Girişi'!B182)</f>
        <v/>
      </c>
      <c r="C180">
        <f>IF($A180="", "", 'Hareket Girişi'!C182)</f>
        <v/>
      </c>
      <c r="D180" s="27">
        <f>IF($A180="", "", 'Hareket Girişi'!D182)</f>
        <v/>
      </c>
      <c r="E180" s="27">
        <f>IF($A180="", "", 'Hareket Girişi'!E182)</f>
        <v/>
      </c>
      <c r="F180" s="27">
        <f>IF($A180="", "", D180-E180)</f>
        <v/>
      </c>
    </row>
    <row r="181">
      <c r="A181" s="11">
        <f>IF('Hareket Girişi'!F183=2,'Hareket Girişi'!A183,"")</f>
        <v/>
      </c>
      <c r="B181">
        <f>IF($A181="", "", 'Hareket Girişi'!B183)</f>
        <v/>
      </c>
      <c r="C181">
        <f>IF($A181="", "", 'Hareket Girişi'!C183)</f>
        <v/>
      </c>
      <c r="D181" s="27">
        <f>IF($A181="", "", 'Hareket Girişi'!D183)</f>
        <v/>
      </c>
      <c r="E181" s="27">
        <f>IF($A181="", "", 'Hareket Girişi'!E183)</f>
        <v/>
      </c>
      <c r="F181" s="27">
        <f>IF($A181="", "", D181-E181)</f>
        <v/>
      </c>
    </row>
    <row r="182">
      <c r="A182" s="11">
        <f>IF('Hareket Girişi'!F184=2,'Hareket Girişi'!A184,"")</f>
        <v/>
      </c>
      <c r="B182">
        <f>IF($A182="", "", 'Hareket Girişi'!B184)</f>
        <v/>
      </c>
      <c r="C182">
        <f>IF($A182="", "", 'Hareket Girişi'!C184)</f>
        <v/>
      </c>
      <c r="D182" s="27">
        <f>IF($A182="", "", 'Hareket Girişi'!D184)</f>
        <v/>
      </c>
      <c r="E182" s="27">
        <f>IF($A182="", "", 'Hareket Girişi'!E184)</f>
        <v/>
      </c>
      <c r="F182" s="27">
        <f>IF($A182="", "", D182-E182)</f>
        <v/>
      </c>
    </row>
    <row r="183">
      <c r="A183" s="11">
        <f>IF('Hareket Girişi'!F185=2,'Hareket Girişi'!A185,"")</f>
        <v/>
      </c>
      <c r="B183">
        <f>IF($A183="", "", 'Hareket Girişi'!B185)</f>
        <v/>
      </c>
      <c r="C183">
        <f>IF($A183="", "", 'Hareket Girişi'!C185)</f>
        <v/>
      </c>
      <c r="D183" s="27">
        <f>IF($A183="", "", 'Hareket Girişi'!D185)</f>
        <v/>
      </c>
      <c r="E183" s="27">
        <f>IF($A183="", "", 'Hareket Girişi'!E185)</f>
        <v/>
      </c>
      <c r="F183" s="27">
        <f>IF($A183="", "", D183-E183)</f>
        <v/>
      </c>
    </row>
    <row r="184">
      <c r="A184" s="11">
        <f>IF('Hareket Girişi'!F186=2,'Hareket Girişi'!A186,"")</f>
        <v/>
      </c>
      <c r="B184">
        <f>IF($A184="", "", 'Hareket Girişi'!B186)</f>
        <v/>
      </c>
      <c r="C184">
        <f>IF($A184="", "", 'Hareket Girişi'!C186)</f>
        <v/>
      </c>
      <c r="D184" s="27">
        <f>IF($A184="", "", 'Hareket Girişi'!D186)</f>
        <v/>
      </c>
      <c r="E184" s="27">
        <f>IF($A184="", "", 'Hareket Girişi'!E186)</f>
        <v/>
      </c>
      <c r="F184" s="27">
        <f>IF($A184="", "", D184-E184)</f>
        <v/>
      </c>
    </row>
    <row r="185">
      <c r="A185" s="11">
        <f>IF('Hareket Girişi'!F187=2,'Hareket Girişi'!A187,"")</f>
        <v/>
      </c>
      <c r="B185">
        <f>IF($A185="", "", 'Hareket Girişi'!B187)</f>
        <v/>
      </c>
      <c r="C185">
        <f>IF($A185="", "", 'Hareket Girişi'!C187)</f>
        <v/>
      </c>
      <c r="D185" s="27">
        <f>IF($A185="", "", 'Hareket Girişi'!D187)</f>
        <v/>
      </c>
      <c r="E185" s="27">
        <f>IF($A185="", "", 'Hareket Girişi'!E187)</f>
        <v/>
      </c>
      <c r="F185" s="27">
        <f>IF($A185="", "", D185-E185)</f>
        <v/>
      </c>
    </row>
    <row r="186">
      <c r="A186" s="11">
        <f>IF('Hareket Girişi'!F188=2,'Hareket Girişi'!A188,"")</f>
        <v/>
      </c>
      <c r="B186">
        <f>IF($A186="", "", 'Hareket Girişi'!B188)</f>
        <v/>
      </c>
      <c r="C186">
        <f>IF($A186="", "", 'Hareket Girişi'!C188)</f>
        <v/>
      </c>
      <c r="D186" s="27">
        <f>IF($A186="", "", 'Hareket Girişi'!D188)</f>
        <v/>
      </c>
      <c r="E186" s="27">
        <f>IF($A186="", "", 'Hareket Girişi'!E188)</f>
        <v/>
      </c>
      <c r="F186" s="27">
        <f>IF($A186="", "", D186-E186)</f>
        <v/>
      </c>
    </row>
    <row r="187">
      <c r="A187" s="11">
        <f>IF('Hareket Girişi'!F189=2,'Hareket Girişi'!A189,"")</f>
        <v/>
      </c>
      <c r="B187">
        <f>IF($A187="", "", 'Hareket Girişi'!B189)</f>
        <v/>
      </c>
      <c r="C187">
        <f>IF($A187="", "", 'Hareket Girişi'!C189)</f>
        <v/>
      </c>
      <c r="D187" s="27">
        <f>IF($A187="", "", 'Hareket Girişi'!D189)</f>
        <v/>
      </c>
      <c r="E187" s="27">
        <f>IF($A187="", "", 'Hareket Girişi'!E189)</f>
        <v/>
      </c>
      <c r="F187" s="27">
        <f>IF($A187="", "", D187-E187)</f>
        <v/>
      </c>
    </row>
    <row r="188">
      <c r="A188" s="11">
        <f>IF('Hareket Girişi'!F190=2,'Hareket Girişi'!A190,"")</f>
        <v/>
      </c>
      <c r="B188">
        <f>IF($A188="", "", 'Hareket Girişi'!B190)</f>
        <v/>
      </c>
      <c r="C188">
        <f>IF($A188="", "", 'Hareket Girişi'!C190)</f>
        <v/>
      </c>
      <c r="D188" s="27">
        <f>IF($A188="", "", 'Hareket Girişi'!D190)</f>
        <v/>
      </c>
      <c r="E188" s="27">
        <f>IF($A188="", "", 'Hareket Girişi'!E190)</f>
        <v/>
      </c>
      <c r="F188" s="27">
        <f>IF($A188="", "", D188-E188)</f>
        <v/>
      </c>
    </row>
    <row r="189">
      <c r="A189" s="11">
        <f>IF('Hareket Girişi'!F191=2,'Hareket Girişi'!A191,"")</f>
        <v/>
      </c>
      <c r="B189">
        <f>IF($A189="", "", 'Hareket Girişi'!B191)</f>
        <v/>
      </c>
      <c r="C189">
        <f>IF($A189="", "", 'Hareket Girişi'!C191)</f>
        <v/>
      </c>
      <c r="D189" s="27">
        <f>IF($A189="", "", 'Hareket Girişi'!D191)</f>
        <v/>
      </c>
      <c r="E189" s="27">
        <f>IF($A189="", "", 'Hareket Girişi'!E191)</f>
        <v/>
      </c>
      <c r="F189" s="27">
        <f>IF($A189="", "", D189-E189)</f>
        <v/>
      </c>
    </row>
    <row r="190">
      <c r="A190" s="11">
        <f>IF('Hareket Girişi'!F192=2,'Hareket Girişi'!A192,"")</f>
        <v/>
      </c>
      <c r="B190">
        <f>IF($A190="", "", 'Hareket Girişi'!B192)</f>
        <v/>
      </c>
      <c r="C190">
        <f>IF($A190="", "", 'Hareket Girişi'!C192)</f>
        <v/>
      </c>
      <c r="D190" s="27">
        <f>IF($A190="", "", 'Hareket Girişi'!D192)</f>
        <v/>
      </c>
      <c r="E190" s="27">
        <f>IF($A190="", "", 'Hareket Girişi'!E192)</f>
        <v/>
      </c>
      <c r="F190" s="27">
        <f>IF($A190="", "", D190-E190)</f>
        <v/>
      </c>
    </row>
    <row r="191">
      <c r="A191" s="11">
        <f>IF('Hareket Girişi'!F193=2,'Hareket Girişi'!A193,"")</f>
        <v/>
      </c>
      <c r="B191">
        <f>IF($A191="", "", 'Hareket Girişi'!B193)</f>
        <v/>
      </c>
      <c r="C191">
        <f>IF($A191="", "", 'Hareket Girişi'!C193)</f>
        <v/>
      </c>
      <c r="D191" s="27">
        <f>IF($A191="", "", 'Hareket Girişi'!D193)</f>
        <v/>
      </c>
      <c r="E191" s="27">
        <f>IF($A191="", "", 'Hareket Girişi'!E193)</f>
        <v/>
      </c>
      <c r="F191" s="27">
        <f>IF($A191="", "", D191-E191)</f>
        <v/>
      </c>
    </row>
    <row r="192">
      <c r="A192" s="11">
        <f>IF('Hareket Girişi'!F194=2,'Hareket Girişi'!A194,"")</f>
        <v/>
      </c>
      <c r="B192">
        <f>IF($A192="", "", 'Hareket Girişi'!B194)</f>
        <v/>
      </c>
      <c r="C192">
        <f>IF($A192="", "", 'Hareket Girişi'!C194)</f>
        <v/>
      </c>
      <c r="D192" s="27">
        <f>IF($A192="", "", 'Hareket Girişi'!D194)</f>
        <v/>
      </c>
      <c r="E192" s="27">
        <f>IF($A192="", "", 'Hareket Girişi'!E194)</f>
        <v/>
      </c>
      <c r="F192" s="27">
        <f>IF($A192="", "", D192-E192)</f>
        <v/>
      </c>
    </row>
    <row r="193">
      <c r="A193" s="11">
        <f>IF('Hareket Girişi'!F195=2,'Hareket Girişi'!A195,"")</f>
        <v/>
      </c>
      <c r="B193">
        <f>IF($A193="", "", 'Hareket Girişi'!B195)</f>
        <v/>
      </c>
      <c r="C193">
        <f>IF($A193="", "", 'Hareket Girişi'!C195)</f>
        <v/>
      </c>
      <c r="D193" s="27">
        <f>IF($A193="", "", 'Hareket Girişi'!D195)</f>
        <v/>
      </c>
      <c r="E193" s="27">
        <f>IF($A193="", "", 'Hareket Girişi'!E195)</f>
        <v/>
      </c>
      <c r="F193" s="27">
        <f>IF($A193="", "", D193-E193)</f>
        <v/>
      </c>
    </row>
    <row r="194">
      <c r="A194" s="11">
        <f>IF('Hareket Girişi'!F196=2,'Hareket Girişi'!A196,"")</f>
        <v/>
      </c>
      <c r="B194">
        <f>IF($A194="", "", 'Hareket Girişi'!B196)</f>
        <v/>
      </c>
      <c r="C194">
        <f>IF($A194="", "", 'Hareket Girişi'!C196)</f>
        <v/>
      </c>
      <c r="D194" s="27">
        <f>IF($A194="", "", 'Hareket Girişi'!D196)</f>
        <v/>
      </c>
      <c r="E194" s="27">
        <f>IF($A194="", "", 'Hareket Girişi'!E196)</f>
        <v/>
      </c>
      <c r="F194" s="27">
        <f>IF($A194="", "", D194-E194)</f>
        <v/>
      </c>
    </row>
    <row r="195">
      <c r="A195" s="11">
        <f>IF('Hareket Girişi'!F197=2,'Hareket Girişi'!A197,"")</f>
        <v/>
      </c>
      <c r="B195">
        <f>IF($A195="", "", 'Hareket Girişi'!B197)</f>
        <v/>
      </c>
      <c r="C195">
        <f>IF($A195="", "", 'Hareket Girişi'!C197)</f>
        <v/>
      </c>
      <c r="D195" s="27">
        <f>IF($A195="", "", 'Hareket Girişi'!D197)</f>
        <v/>
      </c>
      <c r="E195" s="27">
        <f>IF($A195="", "", 'Hareket Girişi'!E197)</f>
        <v/>
      </c>
      <c r="F195" s="27">
        <f>IF($A195="", "", D195-E195)</f>
        <v/>
      </c>
    </row>
    <row r="196">
      <c r="A196" s="11">
        <f>IF('Hareket Girişi'!F198=2,'Hareket Girişi'!A198,"")</f>
        <v/>
      </c>
      <c r="B196">
        <f>IF($A196="", "", 'Hareket Girişi'!B198)</f>
        <v/>
      </c>
      <c r="C196">
        <f>IF($A196="", "", 'Hareket Girişi'!C198)</f>
        <v/>
      </c>
      <c r="D196" s="27">
        <f>IF($A196="", "", 'Hareket Girişi'!D198)</f>
        <v/>
      </c>
      <c r="E196" s="27">
        <f>IF($A196="", "", 'Hareket Girişi'!E198)</f>
        <v/>
      </c>
      <c r="F196" s="27">
        <f>IF($A196="", "", D196-E196)</f>
        <v/>
      </c>
    </row>
    <row r="197">
      <c r="A197" s="11">
        <f>IF('Hareket Girişi'!F199=2,'Hareket Girişi'!A199,"")</f>
        <v/>
      </c>
      <c r="B197">
        <f>IF($A197="", "", 'Hareket Girişi'!B199)</f>
        <v/>
      </c>
      <c r="C197">
        <f>IF($A197="", "", 'Hareket Girişi'!C199)</f>
        <v/>
      </c>
      <c r="D197" s="27">
        <f>IF($A197="", "", 'Hareket Girişi'!D199)</f>
        <v/>
      </c>
      <c r="E197" s="27">
        <f>IF($A197="", "", 'Hareket Girişi'!E199)</f>
        <v/>
      </c>
      <c r="F197" s="27">
        <f>IF($A197="", "", D197-E197)</f>
        <v/>
      </c>
    </row>
    <row r="198">
      <c r="A198" s="11">
        <f>IF('Hareket Girişi'!F200=2,'Hareket Girişi'!A200,"")</f>
        <v/>
      </c>
      <c r="B198">
        <f>IF($A198="", "", 'Hareket Girişi'!B200)</f>
        <v/>
      </c>
      <c r="C198">
        <f>IF($A198="", "", 'Hareket Girişi'!C200)</f>
        <v/>
      </c>
      <c r="D198" s="27">
        <f>IF($A198="", "", 'Hareket Girişi'!D200)</f>
        <v/>
      </c>
      <c r="E198" s="27">
        <f>IF($A198="", "", 'Hareket Girişi'!E200)</f>
        <v/>
      </c>
      <c r="F198" s="27">
        <f>IF($A198="", "", D198-E198)</f>
        <v/>
      </c>
    </row>
    <row r="199">
      <c r="A199" s="11">
        <f>IF('Hareket Girişi'!F201=2,'Hareket Girişi'!A201,"")</f>
        <v/>
      </c>
      <c r="B199">
        <f>IF($A199="", "", 'Hareket Girişi'!B201)</f>
        <v/>
      </c>
      <c r="C199">
        <f>IF($A199="", "", 'Hareket Girişi'!C201)</f>
        <v/>
      </c>
      <c r="D199" s="27">
        <f>IF($A199="", "", 'Hareket Girişi'!D201)</f>
        <v/>
      </c>
      <c r="E199" s="27">
        <f>IF($A199="", "", 'Hareket Girişi'!E201)</f>
        <v/>
      </c>
      <c r="F199" s="27">
        <f>IF($A199="", "", D199-E199)</f>
        <v/>
      </c>
    </row>
    <row r="200">
      <c r="A200" s="11">
        <f>IF('Hareket Girişi'!F202=2,'Hareket Girişi'!A202,"")</f>
        <v/>
      </c>
      <c r="B200">
        <f>IF($A200="", "", 'Hareket Girişi'!B202)</f>
        <v/>
      </c>
      <c r="C200">
        <f>IF($A200="", "", 'Hareket Girişi'!C202)</f>
        <v/>
      </c>
      <c r="D200" s="27">
        <f>IF($A200="", "", 'Hareket Girişi'!D202)</f>
        <v/>
      </c>
      <c r="E200" s="27">
        <f>IF($A200="", "", 'Hareket Girişi'!E202)</f>
        <v/>
      </c>
      <c r="F200" s="27">
        <f>IF($A200="", "", D200-E200)</f>
        <v/>
      </c>
    </row>
    <row r="201">
      <c r="A201" s="11">
        <f>IF('Hareket Girişi'!F203=2,'Hareket Girişi'!A203,"")</f>
        <v/>
      </c>
      <c r="B201">
        <f>IF($A201="", "", 'Hareket Girişi'!B203)</f>
        <v/>
      </c>
      <c r="C201">
        <f>IF($A201="", "", 'Hareket Girişi'!C203)</f>
        <v/>
      </c>
      <c r="D201" s="27">
        <f>IF($A201="", "", 'Hareket Girişi'!D203)</f>
        <v/>
      </c>
      <c r="E201" s="27">
        <f>IF($A201="", "", 'Hareket Girişi'!E203)</f>
        <v/>
      </c>
      <c r="F201" s="27">
        <f>IF($A201="", "", D201-E201)</f>
        <v/>
      </c>
    </row>
    <row r="202">
      <c r="A202" s="11">
        <f>IF('Hareket Girişi'!F204=2,'Hareket Girişi'!A204,"")</f>
        <v/>
      </c>
      <c r="B202">
        <f>IF($A202="", "", 'Hareket Girişi'!B204)</f>
        <v/>
      </c>
      <c r="C202">
        <f>IF($A202="", "", 'Hareket Girişi'!C204)</f>
        <v/>
      </c>
      <c r="D202" s="27">
        <f>IF($A202="", "", 'Hareket Girişi'!D204)</f>
        <v/>
      </c>
      <c r="E202" s="27">
        <f>IF($A202="", "", 'Hareket Girişi'!E204)</f>
        <v/>
      </c>
      <c r="F202" s="27">
        <f>IF($A202="", "", D202-E202)</f>
        <v/>
      </c>
    </row>
    <row r="203">
      <c r="A203" s="11">
        <f>IF('Hareket Girişi'!F205=2,'Hareket Girişi'!A205,"")</f>
        <v/>
      </c>
      <c r="B203">
        <f>IF($A203="", "", 'Hareket Girişi'!B205)</f>
        <v/>
      </c>
      <c r="C203">
        <f>IF($A203="", "", 'Hareket Girişi'!C205)</f>
        <v/>
      </c>
      <c r="D203" s="27">
        <f>IF($A203="", "", 'Hareket Girişi'!D205)</f>
        <v/>
      </c>
      <c r="E203" s="27">
        <f>IF($A203="", "", 'Hareket Girişi'!E205)</f>
        <v/>
      </c>
      <c r="F203" s="27">
        <f>IF($A203="", "", D203-E203)</f>
        <v/>
      </c>
    </row>
    <row r="204">
      <c r="C204" s="13" t="inlineStr">
        <is>
          <t>TOPLAM</t>
        </is>
      </c>
      <c r="D204" s="14">
        <f>SUM(D4:D203)</f>
        <v/>
      </c>
      <c r="E204" s="14">
        <f>SUM(E4:E203)</f>
        <v/>
      </c>
      <c r="F204" s="14">
        <f>SUM(F4:F203)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MART DETAY</t>
        </is>
      </c>
    </row>
    <row r="3">
      <c r="A3" s="10" t="inlineStr">
        <is>
          <t>Tarih</t>
        </is>
      </c>
      <c r="B3" s="10" t="inlineStr">
        <is>
          <t>Tür</t>
        </is>
      </c>
      <c r="C3" s="10" t="inlineStr">
        <is>
          <t>Açıklama</t>
        </is>
      </c>
      <c r="D3" s="10" t="inlineStr">
        <is>
          <t>Borç</t>
        </is>
      </c>
      <c r="E3" s="10" t="inlineStr">
        <is>
          <t>Alacak</t>
        </is>
      </c>
      <c r="F3" s="10" t="inlineStr">
        <is>
          <t>Net</t>
        </is>
      </c>
    </row>
    <row r="4">
      <c r="A4" s="11">
        <f>IF('Hareket Girişi'!F6=3,'Hareket Girişi'!A6,"")</f>
        <v/>
      </c>
      <c r="B4">
        <f>IF($A4="", "", 'Hareket Girişi'!B6)</f>
        <v/>
      </c>
      <c r="C4">
        <f>IF($A4="", "", 'Hareket Girişi'!C6)</f>
        <v/>
      </c>
      <c r="D4" s="27">
        <f>IF($A4="", "", 'Hareket Girişi'!D6)</f>
        <v/>
      </c>
      <c r="E4" s="27">
        <f>IF($A4="", "", 'Hareket Girişi'!E6)</f>
        <v/>
      </c>
      <c r="F4" s="27">
        <f>IF($A4="", "", D4-E4)</f>
        <v/>
      </c>
    </row>
    <row r="5">
      <c r="A5" s="11">
        <f>IF('Hareket Girişi'!F7=3,'Hareket Girişi'!A7,"")</f>
        <v/>
      </c>
      <c r="B5">
        <f>IF($A5="", "", 'Hareket Girişi'!B7)</f>
        <v/>
      </c>
      <c r="C5">
        <f>IF($A5="", "", 'Hareket Girişi'!C7)</f>
        <v/>
      </c>
      <c r="D5" s="27">
        <f>IF($A5="", "", 'Hareket Girişi'!D7)</f>
        <v/>
      </c>
      <c r="E5" s="27">
        <f>IF($A5="", "", 'Hareket Girişi'!E7)</f>
        <v/>
      </c>
      <c r="F5" s="27">
        <f>IF($A5="", "", D5-E5)</f>
        <v/>
      </c>
    </row>
    <row r="6">
      <c r="A6" s="11">
        <f>IF('Hareket Girişi'!F8=3,'Hareket Girişi'!A8,"")</f>
        <v/>
      </c>
      <c r="B6">
        <f>IF($A6="", "", 'Hareket Girişi'!B8)</f>
        <v/>
      </c>
      <c r="C6">
        <f>IF($A6="", "", 'Hareket Girişi'!C8)</f>
        <v/>
      </c>
      <c r="D6" s="27">
        <f>IF($A6="", "", 'Hareket Girişi'!D8)</f>
        <v/>
      </c>
      <c r="E6" s="27">
        <f>IF($A6="", "", 'Hareket Girişi'!E8)</f>
        <v/>
      </c>
      <c r="F6" s="27">
        <f>IF($A6="", "", D6-E6)</f>
        <v/>
      </c>
    </row>
    <row r="7">
      <c r="A7" s="11">
        <f>IF('Hareket Girişi'!F9=3,'Hareket Girişi'!A9,"")</f>
        <v/>
      </c>
      <c r="B7">
        <f>IF($A7="", "", 'Hareket Girişi'!B9)</f>
        <v/>
      </c>
      <c r="C7">
        <f>IF($A7="", "", 'Hareket Girişi'!C9)</f>
        <v/>
      </c>
      <c r="D7" s="27">
        <f>IF($A7="", "", 'Hareket Girişi'!D9)</f>
        <v/>
      </c>
      <c r="E7" s="27">
        <f>IF($A7="", "", 'Hareket Girişi'!E9)</f>
        <v/>
      </c>
      <c r="F7" s="27">
        <f>IF($A7="", "", D7-E7)</f>
        <v/>
      </c>
    </row>
    <row r="8">
      <c r="A8" s="11">
        <f>IF('Hareket Girişi'!F10=3,'Hareket Girişi'!A10,"")</f>
        <v/>
      </c>
      <c r="B8">
        <f>IF($A8="", "", 'Hareket Girişi'!B10)</f>
        <v/>
      </c>
      <c r="C8">
        <f>IF($A8="", "", 'Hareket Girişi'!C10)</f>
        <v/>
      </c>
      <c r="D8" s="27">
        <f>IF($A8="", "", 'Hareket Girişi'!D10)</f>
        <v/>
      </c>
      <c r="E8" s="27">
        <f>IF($A8="", "", 'Hareket Girişi'!E10)</f>
        <v/>
      </c>
      <c r="F8" s="27">
        <f>IF($A8="", "", D8-E8)</f>
        <v/>
      </c>
    </row>
    <row r="9">
      <c r="A9" s="11">
        <f>IF('Hareket Girişi'!F11=3,'Hareket Girişi'!A11,"")</f>
        <v/>
      </c>
      <c r="B9">
        <f>IF($A9="", "", 'Hareket Girişi'!B11)</f>
        <v/>
      </c>
      <c r="C9">
        <f>IF($A9="", "", 'Hareket Girişi'!C11)</f>
        <v/>
      </c>
      <c r="D9" s="27">
        <f>IF($A9="", "", 'Hareket Girişi'!D11)</f>
        <v/>
      </c>
      <c r="E9" s="27">
        <f>IF($A9="", "", 'Hareket Girişi'!E11)</f>
        <v/>
      </c>
      <c r="F9" s="27">
        <f>IF($A9="", "", D9-E9)</f>
        <v/>
      </c>
    </row>
    <row r="10">
      <c r="A10" s="11">
        <f>IF('Hareket Girişi'!F12=3,'Hareket Girişi'!A12,"")</f>
        <v/>
      </c>
      <c r="B10">
        <f>IF($A10="", "", 'Hareket Girişi'!B12)</f>
        <v/>
      </c>
      <c r="C10">
        <f>IF($A10="", "", 'Hareket Girişi'!C12)</f>
        <v/>
      </c>
      <c r="D10" s="27">
        <f>IF($A10="", "", 'Hareket Girişi'!D12)</f>
        <v/>
      </c>
      <c r="E10" s="27">
        <f>IF($A10="", "", 'Hareket Girişi'!E12)</f>
        <v/>
      </c>
      <c r="F10" s="27">
        <f>IF($A10="", "", D10-E10)</f>
        <v/>
      </c>
    </row>
    <row r="11">
      <c r="A11" s="11">
        <f>IF('Hareket Girişi'!F13=3,'Hareket Girişi'!A13,"")</f>
        <v/>
      </c>
      <c r="B11">
        <f>IF($A11="", "", 'Hareket Girişi'!B13)</f>
        <v/>
      </c>
      <c r="C11">
        <f>IF($A11="", "", 'Hareket Girişi'!C13)</f>
        <v/>
      </c>
      <c r="D11" s="27">
        <f>IF($A11="", "", 'Hareket Girişi'!D13)</f>
        <v/>
      </c>
      <c r="E11" s="27">
        <f>IF($A11="", "", 'Hareket Girişi'!E13)</f>
        <v/>
      </c>
      <c r="F11" s="27">
        <f>IF($A11="", "", D11-E11)</f>
        <v/>
      </c>
    </row>
    <row r="12">
      <c r="A12" s="11">
        <f>IF('Hareket Girişi'!F14=3,'Hareket Girişi'!A14,"")</f>
        <v/>
      </c>
      <c r="B12">
        <f>IF($A12="", "", 'Hareket Girişi'!B14)</f>
        <v/>
      </c>
      <c r="C12">
        <f>IF($A12="", "", 'Hareket Girişi'!C14)</f>
        <v/>
      </c>
      <c r="D12" s="27">
        <f>IF($A12="", "", 'Hareket Girişi'!D14)</f>
        <v/>
      </c>
      <c r="E12" s="27">
        <f>IF($A12="", "", 'Hareket Girişi'!E14)</f>
        <v/>
      </c>
      <c r="F12" s="27">
        <f>IF($A12="", "", D12-E12)</f>
        <v/>
      </c>
    </row>
    <row r="13">
      <c r="A13" s="11">
        <f>IF('Hareket Girişi'!F15=3,'Hareket Girişi'!A15,"")</f>
        <v/>
      </c>
      <c r="B13">
        <f>IF($A13="", "", 'Hareket Girişi'!B15)</f>
        <v/>
      </c>
      <c r="C13">
        <f>IF($A13="", "", 'Hareket Girişi'!C15)</f>
        <v/>
      </c>
      <c r="D13" s="27">
        <f>IF($A13="", "", 'Hareket Girişi'!D15)</f>
        <v/>
      </c>
      <c r="E13" s="27">
        <f>IF($A13="", "", 'Hareket Girişi'!E15)</f>
        <v/>
      </c>
      <c r="F13" s="27">
        <f>IF($A13="", "", D13-E13)</f>
        <v/>
      </c>
    </row>
    <row r="14">
      <c r="A14" s="11">
        <f>IF('Hareket Girişi'!F16=3,'Hareket Girişi'!A16,"")</f>
        <v/>
      </c>
      <c r="B14">
        <f>IF($A14="", "", 'Hareket Girişi'!B16)</f>
        <v/>
      </c>
      <c r="C14">
        <f>IF($A14="", "", 'Hareket Girişi'!C16)</f>
        <v/>
      </c>
      <c r="D14" s="27">
        <f>IF($A14="", "", 'Hareket Girişi'!D16)</f>
        <v/>
      </c>
      <c r="E14" s="27">
        <f>IF($A14="", "", 'Hareket Girişi'!E16)</f>
        <v/>
      </c>
      <c r="F14" s="27">
        <f>IF($A14="", "", D14-E14)</f>
        <v/>
      </c>
    </row>
    <row r="15">
      <c r="A15" s="11">
        <f>IF('Hareket Girişi'!F17=3,'Hareket Girişi'!A17,"")</f>
        <v/>
      </c>
      <c r="B15">
        <f>IF($A15="", "", 'Hareket Girişi'!B17)</f>
        <v/>
      </c>
      <c r="C15">
        <f>IF($A15="", "", 'Hareket Girişi'!C17)</f>
        <v/>
      </c>
      <c r="D15" s="27">
        <f>IF($A15="", "", 'Hareket Girişi'!D17)</f>
        <v/>
      </c>
      <c r="E15" s="27">
        <f>IF($A15="", "", 'Hareket Girişi'!E17)</f>
        <v/>
      </c>
      <c r="F15" s="27">
        <f>IF($A15="", "", D15-E15)</f>
        <v/>
      </c>
    </row>
    <row r="16">
      <c r="A16" s="11">
        <f>IF('Hareket Girişi'!F18=3,'Hareket Girişi'!A18,"")</f>
        <v/>
      </c>
      <c r="B16">
        <f>IF($A16="", "", 'Hareket Girişi'!B18)</f>
        <v/>
      </c>
      <c r="C16">
        <f>IF($A16="", "", 'Hareket Girişi'!C18)</f>
        <v/>
      </c>
      <c r="D16" s="27">
        <f>IF($A16="", "", 'Hareket Girişi'!D18)</f>
        <v/>
      </c>
      <c r="E16" s="27">
        <f>IF($A16="", "", 'Hareket Girişi'!E18)</f>
        <v/>
      </c>
      <c r="F16" s="27">
        <f>IF($A16="", "", D16-E16)</f>
        <v/>
      </c>
    </row>
    <row r="17">
      <c r="A17" s="11">
        <f>IF('Hareket Girişi'!F19=3,'Hareket Girişi'!A19,"")</f>
        <v/>
      </c>
      <c r="B17">
        <f>IF($A17="", "", 'Hareket Girişi'!B19)</f>
        <v/>
      </c>
      <c r="C17">
        <f>IF($A17="", "", 'Hareket Girişi'!C19)</f>
        <v/>
      </c>
      <c r="D17" s="27">
        <f>IF($A17="", "", 'Hareket Girişi'!D19)</f>
        <v/>
      </c>
      <c r="E17" s="27">
        <f>IF($A17="", "", 'Hareket Girişi'!E19)</f>
        <v/>
      </c>
      <c r="F17" s="27">
        <f>IF($A17="", "", D17-E17)</f>
        <v/>
      </c>
    </row>
    <row r="18">
      <c r="A18" s="11">
        <f>IF('Hareket Girişi'!F20=3,'Hareket Girişi'!A20,"")</f>
        <v/>
      </c>
      <c r="B18">
        <f>IF($A18="", "", 'Hareket Girişi'!B20)</f>
        <v/>
      </c>
      <c r="C18">
        <f>IF($A18="", "", 'Hareket Girişi'!C20)</f>
        <v/>
      </c>
      <c r="D18" s="27">
        <f>IF($A18="", "", 'Hareket Girişi'!D20)</f>
        <v/>
      </c>
      <c r="E18" s="27">
        <f>IF($A18="", "", 'Hareket Girişi'!E20)</f>
        <v/>
      </c>
      <c r="F18" s="27">
        <f>IF($A18="", "", D18-E18)</f>
        <v/>
      </c>
    </row>
    <row r="19">
      <c r="A19" s="11">
        <f>IF('Hareket Girişi'!F21=3,'Hareket Girişi'!A21,"")</f>
        <v/>
      </c>
      <c r="B19">
        <f>IF($A19="", "", 'Hareket Girişi'!B21)</f>
        <v/>
      </c>
      <c r="C19">
        <f>IF($A19="", "", 'Hareket Girişi'!C21)</f>
        <v/>
      </c>
      <c r="D19" s="27">
        <f>IF($A19="", "", 'Hareket Girişi'!D21)</f>
        <v/>
      </c>
      <c r="E19" s="27">
        <f>IF($A19="", "", 'Hareket Girişi'!E21)</f>
        <v/>
      </c>
      <c r="F19" s="27">
        <f>IF($A19="", "", D19-E19)</f>
        <v/>
      </c>
    </row>
    <row r="20">
      <c r="A20" s="11">
        <f>IF('Hareket Girişi'!F22=3,'Hareket Girişi'!A22,"")</f>
        <v/>
      </c>
      <c r="B20">
        <f>IF($A20="", "", 'Hareket Girişi'!B22)</f>
        <v/>
      </c>
      <c r="C20">
        <f>IF($A20="", "", 'Hareket Girişi'!C22)</f>
        <v/>
      </c>
      <c r="D20" s="27">
        <f>IF($A20="", "", 'Hareket Girişi'!D22)</f>
        <v/>
      </c>
      <c r="E20" s="27">
        <f>IF($A20="", "", 'Hareket Girişi'!E22)</f>
        <v/>
      </c>
      <c r="F20" s="27">
        <f>IF($A20="", "", D20-E20)</f>
        <v/>
      </c>
    </row>
    <row r="21">
      <c r="A21" s="11">
        <f>IF('Hareket Girişi'!F23=3,'Hareket Girişi'!A23,"")</f>
        <v/>
      </c>
      <c r="B21">
        <f>IF($A21="", "", 'Hareket Girişi'!B23)</f>
        <v/>
      </c>
      <c r="C21">
        <f>IF($A21="", "", 'Hareket Girişi'!C23)</f>
        <v/>
      </c>
      <c r="D21" s="27">
        <f>IF($A21="", "", 'Hareket Girişi'!D23)</f>
        <v/>
      </c>
      <c r="E21" s="27">
        <f>IF($A21="", "", 'Hareket Girişi'!E23)</f>
        <v/>
      </c>
      <c r="F21" s="27">
        <f>IF($A21="", "", D21-E21)</f>
        <v/>
      </c>
    </row>
    <row r="22">
      <c r="A22" s="11">
        <f>IF('Hareket Girişi'!F24=3,'Hareket Girişi'!A24,"")</f>
        <v/>
      </c>
      <c r="B22">
        <f>IF($A22="", "", 'Hareket Girişi'!B24)</f>
        <v/>
      </c>
      <c r="C22">
        <f>IF($A22="", "", 'Hareket Girişi'!C24)</f>
        <v/>
      </c>
      <c r="D22" s="27">
        <f>IF($A22="", "", 'Hareket Girişi'!D24)</f>
        <v/>
      </c>
      <c r="E22" s="27">
        <f>IF($A22="", "", 'Hareket Girişi'!E24)</f>
        <v/>
      </c>
      <c r="F22" s="27">
        <f>IF($A22="", "", D22-E22)</f>
        <v/>
      </c>
    </row>
    <row r="23">
      <c r="A23" s="11">
        <f>IF('Hareket Girişi'!F25=3,'Hareket Girişi'!A25,"")</f>
        <v/>
      </c>
      <c r="B23">
        <f>IF($A23="", "", 'Hareket Girişi'!B25)</f>
        <v/>
      </c>
      <c r="C23">
        <f>IF($A23="", "", 'Hareket Girişi'!C25)</f>
        <v/>
      </c>
      <c r="D23" s="27">
        <f>IF($A23="", "", 'Hareket Girişi'!D25)</f>
        <v/>
      </c>
      <c r="E23" s="27">
        <f>IF($A23="", "", 'Hareket Girişi'!E25)</f>
        <v/>
      </c>
      <c r="F23" s="27">
        <f>IF($A23="", "", D23-E23)</f>
        <v/>
      </c>
    </row>
    <row r="24">
      <c r="A24" s="11">
        <f>IF('Hareket Girişi'!F26=3,'Hareket Girişi'!A26,"")</f>
        <v/>
      </c>
      <c r="B24">
        <f>IF($A24="", "", 'Hareket Girişi'!B26)</f>
        <v/>
      </c>
      <c r="C24">
        <f>IF($A24="", "", 'Hareket Girişi'!C26)</f>
        <v/>
      </c>
      <c r="D24" s="27">
        <f>IF($A24="", "", 'Hareket Girişi'!D26)</f>
        <v/>
      </c>
      <c r="E24" s="27">
        <f>IF($A24="", "", 'Hareket Girişi'!E26)</f>
        <v/>
      </c>
      <c r="F24" s="27">
        <f>IF($A24="", "", D24-E24)</f>
        <v/>
      </c>
    </row>
    <row r="25">
      <c r="A25" s="11">
        <f>IF('Hareket Girişi'!F27=3,'Hareket Girişi'!A27,"")</f>
        <v/>
      </c>
      <c r="B25">
        <f>IF($A25="", "", 'Hareket Girişi'!B27)</f>
        <v/>
      </c>
      <c r="C25">
        <f>IF($A25="", "", 'Hareket Girişi'!C27)</f>
        <v/>
      </c>
      <c r="D25" s="27">
        <f>IF($A25="", "", 'Hareket Girişi'!D27)</f>
        <v/>
      </c>
      <c r="E25" s="27">
        <f>IF($A25="", "", 'Hareket Girişi'!E27)</f>
        <v/>
      </c>
      <c r="F25" s="27">
        <f>IF($A25="", "", D25-E25)</f>
        <v/>
      </c>
    </row>
    <row r="26">
      <c r="A26" s="11">
        <f>IF('Hareket Girişi'!F28=3,'Hareket Girişi'!A28,"")</f>
        <v/>
      </c>
      <c r="B26">
        <f>IF($A26="", "", 'Hareket Girişi'!B28)</f>
        <v/>
      </c>
      <c r="C26">
        <f>IF($A26="", "", 'Hareket Girişi'!C28)</f>
        <v/>
      </c>
      <c r="D26" s="27">
        <f>IF($A26="", "", 'Hareket Girişi'!D28)</f>
        <v/>
      </c>
      <c r="E26" s="27">
        <f>IF($A26="", "", 'Hareket Girişi'!E28)</f>
        <v/>
      </c>
      <c r="F26" s="27">
        <f>IF($A26="", "", D26-E26)</f>
        <v/>
      </c>
    </row>
    <row r="27">
      <c r="A27" s="11">
        <f>IF('Hareket Girişi'!F29=3,'Hareket Girişi'!A29,"")</f>
        <v/>
      </c>
      <c r="B27">
        <f>IF($A27="", "", 'Hareket Girişi'!B29)</f>
        <v/>
      </c>
      <c r="C27">
        <f>IF($A27="", "", 'Hareket Girişi'!C29)</f>
        <v/>
      </c>
      <c r="D27" s="27">
        <f>IF($A27="", "", 'Hareket Girişi'!D29)</f>
        <v/>
      </c>
      <c r="E27" s="27">
        <f>IF($A27="", "", 'Hareket Girişi'!E29)</f>
        <v/>
      </c>
      <c r="F27" s="27">
        <f>IF($A27="", "", D27-E27)</f>
        <v/>
      </c>
    </row>
    <row r="28">
      <c r="A28" s="11">
        <f>IF('Hareket Girişi'!F30=3,'Hareket Girişi'!A30,"")</f>
        <v/>
      </c>
      <c r="B28">
        <f>IF($A28="", "", 'Hareket Girişi'!B30)</f>
        <v/>
      </c>
      <c r="C28">
        <f>IF($A28="", "", 'Hareket Girişi'!C30)</f>
        <v/>
      </c>
      <c r="D28" s="27">
        <f>IF($A28="", "", 'Hareket Girişi'!D30)</f>
        <v/>
      </c>
      <c r="E28" s="27">
        <f>IF($A28="", "", 'Hareket Girişi'!E30)</f>
        <v/>
      </c>
      <c r="F28" s="27">
        <f>IF($A28="", "", D28-E28)</f>
        <v/>
      </c>
    </row>
    <row r="29">
      <c r="A29" s="11">
        <f>IF('Hareket Girişi'!F31=3,'Hareket Girişi'!A31,"")</f>
        <v/>
      </c>
      <c r="B29">
        <f>IF($A29="", "", 'Hareket Girişi'!B31)</f>
        <v/>
      </c>
      <c r="C29">
        <f>IF($A29="", "", 'Hareket Girişi'!C31)</f>
        <v/>
      </c>
      <c r="D29" s="27">
        <f>IF($A29="", "", 'Hareket Girişi'!D31)</f>
        <v/>
      </c>
      <c r="E29" s="27">
        <f>IF($A29="", "", 'Hareket Girişi'!E31)</f>
        <v/>
      </c>
      <c r="F29" s="27">
        <f>IF($A29="", "", D29-E29)</f>
        <v/>
      </c>
    </row>
    <row r="30">
      <c r="A30" s="11">
        <f>IF('Hareket Girişi'!F32=3,'Hareket Girişi'!A32,"")</f>
        <v/>
      </c>
      <c r="B30">
        <f>IF($A30="", "", 'Hareket Girişi'!B32)</f>
        <v/>
      </c>
      <c r="C30">
        <f>IF($A30="", "", 'Hareket Girişi'!C32)</f>
        <v/>
      </c>
      <c r="D30" s="27">
        <f>IF($A30="", "", 'Hareket Girişi'!D32)</f>
        <v/>
      </c>
      <c r="E30" s="27">
        <f>IF($A30="", "", 'Hareket Girişi'!E32)</f>
        <v/>
      </c>
      <c r="F30" s="27">
        <f>IF($A30="", "", D30-E30)</f>
        <v/>
      </c>
    </row>
    <row r="31">
      <c r="A31" s="11">
        <f>IF('Hareket Girişi'!F33=3,'Hareket Girişi'!A33,"")</f>
        <v/>
      </c>
      <c r="B31">
        <f>IF($A31="", "", 'Hareket Girişi'!B33)</f>
        <v/>
      </c>
      <c r="C31">
        <f>IF($A31="", "", 'Hareket Girişi'!C33)</f>
        <v/>
      </c>
      <c r="D31" s="27">
        <f>IF($A31="", "", 'Hareket Girişi'!D33)</f>
        <v/>
      </c>
      <c r="E31" s="27">
        <f>IF($A31="", "", 'Hareket Girişi'!E33)</f>
        <v/>
      </c>
      <c r="F31" s="27">
        <f>IF($A31="", "", D31-E31)</f>
        <v/>
      </c>
    </row>
    <row r="32">
      <c r="A32" s="11">
        <f>IF('Hareket Girişi'!F34=3,'Hareket Girişi'!A34,"")</f>
        <v/>
      </c>
      <c r="B32">
        <f>IF($A32="", "", 'Hareket Girişi'!B34)</f>
        <v/>
      </c>
      <c r="C32">
        <f>IF($A32="", "", 'Hareket Girişi'!C34)</f>
        <v/>
      </c>
      <c r="D32" s="27">
        <f>IF($A32="", "", 'Hareket Girişi'!D34)</f>
        <v/>
      </c>
      <c r="E32" s="27">
        <f>IF($A32="", "", 'Hareket Girişi'!E34)</f>
        <v/>
      </c>
      <c r="F32" s="27">
        <f>IF($A32="", "", D32-E32)</f>
        <v/>
      </c>
    </row>
    <row r="33">
      <c r="A33" s="11">
        <f>IF('Hareket Girişi'!F35=3,'Hareket Girişi'!A35,"")</f>
        <v/>
      </c>
      <c r="B33">
        <f>IF($A33="", "", 'Hareket Girişi'!B35)</f>
        <v/>
      </c>
      <c r="C33">
        <f>IF($A33="", "", 'Hareket Girişi'!C35)</f>
        <v/>
      </c>
      <c r="D33" s="27">
        <f>IF($A33="", "", 'Hareket Girişi'!D35)</f>
        <v/>
      </c>
      <c r="E33" s="27">
        <f>IF($A33="", "", 'Hareket Girişi'!E35)</f>
        <v/>
      </c>
      <c r="F33" s="27">
        <f>IF($A33="", "", D33-E33)</f>
        <v/>
      </c>
    </row>
    <row r="34">
      <c r="A34" s="11">
        <f>IF('Hareket Girişi'!F36=3,'Hareket Girişi'!A36,"")</f>
        <v/>
      </c>
      <c r="B34">
        <f>IF($A34="", "", 'Hareket Girişi'!B36)</f>
        <v/>
      </c>
      <c r="C34">
        <f>IF($A34="", "", 'Hareket Girişi'!C36)</f>
        <v/>
      </c>
      <c r="D34" s="27">
        <f>IF($A34="", "", 'Hareket Girişi'!D36)</f>
        <v/>
      </c>
      <c r="E34" s="27">
        <f>IF($A34="", "", 'Hareket Girişi'!E36)</f>
        <v/>
      </c>
      <c r="F34" s="27">
        <f>IF($A34="", "", D34-E34)</f>
        <v/>
      </c>
    </row>
    <row r="35">
      <c r="A35" s="11">
        <f>IF('Hareket Girişi'!F37=3,'Hareket Girişi'!A37,"")</f>
        <v/>
      </c>
      <c r="B35">
        <f>IF($A35="", "", 'Hareket Girişi'!B37)</f>
        <v/>
      </c>
      <c r="C35">
        <f>IF($A35="", "", 'Hareket Girişi'!C37)</f>
        <v/>
      </c>
      <c r="D35" s="27">
        <f>IF($A35="", "", 'Hareket Girişi'!D37)</f>
        <v/>
      </c>
      <c r="E35" s="27">
        <f>IF($A35="", "", 'Hareket Girişi'!E37)</f>
        <v/>
      </c>
      <c r="F35" s="27">
        <f>IF($A35="", "", D35-E35)</f>
        <v/>
      </c>
    </row>
    <row r="36">
      <c r="A36" s="11">
        <f>IF('Hareket Girişi'!F38=3,'Hareket Girişi'!A38,"")</f>
        <v/>
      </c>
      <c r="B36">
        <f>IF($A36="", "", 'Hareket Girişi'!B38)</f>
        <v/>
      </c>
      <c r="C36">
        <f>IF($A36="", "", 'Hareket Girişi'!C38)</f>
        <v/>
      </c>
      <c r="D36" s="27">
        <f>IF($A36="", "", 'Hareket Girişi'!D38)</f>
        <v/>
      </c>
      <c r="E36" s="27">
        <f>IF($A36="", "", 'Hareket Girişi'!E38)</f>
        <v/>
      </c>
      <c r="F36" s="27">
        <f>IF($A36="", "", D36-E36)</f>
        <v/>
      </c>
    </row>
    <row r="37">
      <c r="A37" s="11">
        <f>IF('Hareket Girişi'!F39=3,'Hareket Girişi'!A39,"")</f>
        <v/>
      </c>
      <c r="B37">
        <f>IF($A37="", "", 'Hareket Girişi'!B39)</f>
        <v/>
      </c>
      <c r="C37">
        <f>IF($A37="", "", 'Hareket Girişi'!C39)</f>
        <v/>
      </c>
      <c r="D37" s="27">
        <f>IF($A37="", "", 'Hareket Girişi'!D39)</f>
        <v/>
      </c>
      <c r="E37" s="27">
        <f>IF($A37="", "", 'Hareket Girişi'!E39)</f>
        <v/>
      </c>
      <c r="F37" s="27">
        <f>IF($A37="", "", D37-E37)</f>
        <v/>
      </c>
    </row>
    <row r="38">
      <c r="A38" s="11">
        <f>IF('Hareket Girişi'!F40=3,'Hareket Girişi'!A40,"")</f>
        <v/>
      </c>
      <c r="B38">
        <f>IF($A38="", "", 'Hareket Girişi'!B40)</f>
        <v/>
      </c>
      <c r="C38">
        <f>IF($A38="", "", 'Hareket Girişi'!C40)</f>
        <v/>
      </c>
      <c r="D38" s="27">
        <f>IF($A38="", "", 'Hareket Girişi'!D40)</f>
        <v/>
      </c>
      <c r="E38" s="27">
        <f>IF($A38="", "", 'Hareket Girişi'!E40)</f>
        <v/>
      </c>
      <c r="F38" s="27">
        <f>IF($A38="", "", D38-E38)</f>
        <v/>
      </c>
    </row>
    <row r="39">
      <c r="A39" s="11">
        <f>IF('Hareket Girişi'!F41=3,'Hareket Girişi'!A41,"")</f>
        <v/>
      </c>
      <c r="B39">
        <f>IF($A39="", "", 'Hareket Girişi'!B41)</f>
        <v/>
      </c>
      <c r="C39">
        <f>IF($A39="", "", 'Hareket Girişi'!C41)</f>
        <v/>
      </c>
      <c r="D39" s="27">
        <f>IF($A39="", "", 'Hareket Girişi'!D41)</f>
        <v/>
      </c>
      <c r="E39" s="27">
        <f>IF($A39="", "", 'Hareket Girişi'!E41)</f>
        <v/>
      </c>
      <c r="F39" s="27">
        <f>IF($A39="", "", D39-E39)</f>
        <v/>
      </c>
    </row>
    <row r="40">
      <c r="A40" s="11">
        <f>IF('Hareket Girişi'!F42=3,'Hareket Girişi'!A42,"")</f>
        <v/>
      </c>
      <c r="B40">
        <f>IF($A40="", "", 'Hareket Girişi'!B42)</f>
        <v/>
      </c>
      <c r="C40">
        <f>IF($A40="", "", 'Hareket Girişi'!C42)</f>
        <v/>
      </c>
      <c r="D40" s="27">
        <f>IF($A40="", "", 'Hareket Girişi'!D42)</f>
        <v/>
      </c>
      <c r="E40" s="27">
        <f>IF($A40="", "", 'Hareket Girişi'!E42)</f>
        <v/>
      </c>
      <c r="F40" s="27">
        <f>IF($A40="", "", D40-E40)</f>
        <v/>
      </c>
    </row>
    <row r="41">
      <c r="A41" s="11">
        <f>IF('Hareket Girişi'!F43=3,'Hareket Girişi'!A43,"")</f>
        <v/>
      </c>
      <c r="B41">
        <f>IF($A41="", "", 'Hareket Girişi'!B43)</f>
        <v/>
      </c>
      <c r="C41">
        <f>IF($A41="", "", 'Hareket Girişi'!C43)</f>
        <v/>
      </c>
      <c r="D41" s="27">
        <f>IF($A41="", "", 'Hareket Girişi'!D43)</f>
        <v/>
      </c>
      <c r="E41" s="27">
        <f>IF($A41="", "", 'Hareket Girişi'!E43)</f>
        <v/>
      </c>
      <c r="F41" s="27">
        <f>IF($A41="", "", D41-E41)</f>
        <v/>
      </c>
    </row>
    <row r="42">
      <c r="A42" s="11">
        <f>IF('Hareket Girişi'!F44=3,'Hareket Girişi'!A44,"")</f>
        <v/>
      </c>
      <c r="B42">
        <f>IF($A42="", "", 'Hareket Girişi'!B44)</f>
        <v/>
      </c>
      <c r="C42">
        <f>IF($A42="", "", 'Hareket Girişi'!C44)</f>
        <v/>
      </c>
      <c r="D42" s="27">
        <f>IF($A42="", "", 'Hareket Girişi'!D44)</f>
        <v/>
      </c>
      <c r="E42" s="27">
        <f>IF($A42="", "", 'Hareket Girişi'!E44)</f>
        <v/>
      </c>
      <c r="F42" s="27">
        <f>IF($A42="", "", D42-E42)</f>
        <v/>
      </c>
    </row>
    <row r="43">
      <c r="A43" s="11">
        <f>IF('Hareket Girişi'!F45=3,'Hareket Girişi'!A45,"")</f>
        <v/>
      </c>
      <c r="B43">
        <f>IF($A43="", "", 'Hareket Girişi'!B45)</f>
        <v/>
      </c>
      <c r="C43">
        <f>IF($A43="", "", 'Hareket Girişi'!C45)</f>
        <v/>
      </c>
      <c r="D43" s="27">
        <f>IF($A43="", "", 'Hareket Girişi'!D45)</f>
        <v/>
      </c>
      <c r="E43" s="27">
        <f>IF($A43="", "", 'Hareket Girişi'!E45)</f>
        <v/>
      </c>
      <c r="F43" s="27">
        <f>IF($A43="", "", D43-E43)</f>
        <v/>
      </c>
    </row>
    <row r="44">
      <c r="A44" s="11">
        <f>IF('Hareket Girişi'!F46=3,'Hareket Girişi'!A46,"")</f>
        <v/>
      </c>
      <c r="B44">
        <f>IF($A44="", "", 'Hareket Girişi'!B46)</f>
        <v/>
      </c>
      <c r="C44">
        <f>IF($A44="", "", 'Hareket Girişi'!C46)</f>
        <v/>
      </c>
      <c r="D44" s="27">
        <f>IF($A44="", "", 'Hareket Girişi'!D46)</f>
        <v/>
      </c>
      <c r="E44" s="27">
        <f>IF($A44="", "", 'Hareket Girişi'!E46)</f>
        <v/>
      </c>
      <c r="F44" s="27">
        <f>IF($A44="", "", D44-E44)</f>
        <v/>
      </c>
    </row>
    <row r="45">
      <c r="A45" s="11">
        <f>IF('Hareket Girişi'!F47=3,'Hareket Girişi'!A47,"")</f>
        <v/>
      </c>
      <c r="B45">
        <f>IF($A45="", "", 'Hareket Girişi'!B47)</f>
        <v/>
      </c>
      <c r="C45">
        <f>IF($A45="", "", 'Hareket Girişi'!C47)</f>
        <v/>
      </c>
      <c r="D45" s="27">
        <f>IF($A45="", "", 'Hareket Girişi'!D47)</f>
        <v/>
      </c>
      <c r="E45" s="27">
        <f>IF($A45="", "", 'Hareket Girişi'!E47)</f>
        <v/>
      </c>
      <c r="F45" s="27">
        <f>IF($A45="", "", D45-E45)</f>
        <v/>
      </c>
    </row>
    <row r="46">
      <c r="A46" s="11">
        <f>IF('Hareket Girişi'!F48=3,'Hareket Girişi'!A48,"")</f>
        <v/>
      </c>
      <c r="B46">
        <f>IF($A46="", "", 'Hareket Girişi'!B48)</f>
        <v/>
      </c>
      <c r="C46">
        <f>IF($A46="", "", 'Hareket Girişi'!C48)</f>
        <v/>
      </c>
      <c r="D46" s="27">
        <f>IF($A46="", "", 'Hareket Girişi'!D48)</f>
        <v/>
      </c>
      <c r="E46" s="27">
        <f>IF($A46="", "", 'Hareket Girişi'!E48)</f>
        <v/>
      </c>
      <c r="F46" s="27">
        <f>IF($A46="", "", D46-E46)</f>
        <v/>
      </c>
    </row>
    <row r="47">
      <c r="A47" s="11">
        <f>IF('Hareket Girişi'!F49=3,'Hareket Girişi'!A49,"")</f>
        <v/>
      </c>
      <c r="B47">
        <f>IF($A47="", "", 'Hareket Girişi'!B49)</f>
        <v/>
      </c>
      <c r="C47">
        <f>IF($A47="", "", 'Hareket Girişi'!C49)</f>
        <v/>
      </c>
      <c r="D47" s="27">
        <f>IF($A47="", "", 'Hareket Girişi'!D49)</f>
        <v/>
      </c>
      <c r="E47" s="27">
        <f>IF($A47="", "", 'Hareket Girişi'!E49)</f>
        <v/>
      </c>
      <c r="F47" s="27">
        <f>IF($A47="", "", D47-E47)</f>
        <v/>
      </c>
    </row>
    <row r="48">
      <c r="A48" s="11">
        <f>IF('Hareket Girişi'!F50=3,'Hareket Girişi'!A50,"")</f>
        <v/>
      </c>
      <c r="B48">
        <f>IF($A48="", "", 'Hareket Girişi'!B50)</f>
        <v/>
      </c>
      <c r="C48">
        <f>IF($A48="", "", 'Hareket Girişi'!C50)</f>
        <v/>
      </c>
      <c r="D48" s="27">
        <f>IF($A48="", "", 'Hareket Girişi'!D50)</f>
        <v/>
      </c>
      <c r="E48" s="27">
        <f>IF($A48="", "", 'Hareket Girişi'!E50)</f>
        <v/>
      </c>
      <c r="F48" s="27">
        <f>IF($A48="", "", D48-E48)</f>
        <v/>
      </c>
    </row>
    <row r="49">
      <c r="A49" s="11">
        <f>IF('Hareket Girişi'!F51=3,'Hareket Girişi'!A51,"")</f>
        <v/>
      </c>
      <c r="B49">
        <f>IF($A49="", "", 'Hareket Girişi'!B51)</f>
        <v/>
      </c>
      <c r="C49">
        <f>IF($A49="", "", 'Hareket Girişi'!C51)</f>
        <v/>
      </c>
      <c r="D49" s="27">
        <f>IF($A49="", "", 'Hareket Girişi'!D51)</f>
        <v/>
      </c>
      <c r="E49" s="27">
        <f>IF($A49="", "", 'Hareket Girişi'!E51)</f>
        <v/>
      </c>
      <c r="F49" s="27">
        <f>IF($A49="", "", D49-E49)</f>
        <v/>
      </c>
    </row>
    <row r="50">
      <c r="A50" s="11">
        <f>IF('Hareket Girişi'!F52=3,'Hareket Girişi'!A52,"")</f>
        <v/>
      </c>
      <c r="B50">
        <f>IF($A50="", "", 'Hareket Girişi'!B52)</f>
        <v/>
      </c>
      <c r="C50">
        <f>IF($A50="", "", 'Hareket Girişi'!C52)</f>
        <v/>
      </c>
      <c r="D50" s="27">
        <f>IF($A50="", "", 'Hareket Girişi'!D52)</f>
        <v/>
      </c>
      <c r="E50" s="27">
        <f>IF($A50="", "", 'Hareket Girişi'!E52)</f>
        <v/>
      </c>
      <c r="F50" s="27">
        <f>IF($A50="", "", D50-E50)</f>
        <v/>
      </c>
    </row>
    <row r="51">
      <c r="A51" s="11">
        <f>IF('Hareket Girişi'!F53=3,'Hareket Girişi'!A53,"")</f>
        <v/>
      </c>
      <c r="B51">
        <f>IF($A51="", "", 'Hareket Girişi'!B53)</f>
        <v/>
      </c>
      <c r="C51">
        <f>IF($A51="", "", 'Hareket Girişi'!C53)</f>
        <v/>
      </c>
      <c r="D51" s="27">
        <f>IF($A51="", "", 'Hareket Girişi'!D53)</f>
        <v/>
      </c>
      <c r="E51" s="27">
        <f>IF($A51="", "", 'Hareket Girişi'!E53)</f>
        <v/>
      </c>
      <c r="F51" s="27">
        <f>IF($A51="", "", D51-E51)</f>
        <v/>
      </c>
    </row>
    <row r="52">
      <c r="A52" s="11">
        <f>IF('Hareket Girişi'!F54=3,'Hareket Girişi'!A54,"")</f>
        <v/>
      </c>
      <c r="B52">
        <f>IF($A52="", "", 'Hareket Girişi'!B54)</f>
        <v/>
      </c>
      <c r="C52">
        <f>IF($A52="", "", 'Hareket Girişi'!C54)</f>
        <v/>
      </c>
      <c r="D52" s="27">
        <f>IF($A52="", "", 'Hareket Girişi'!D54)</f>
        <v/>
      </c>
      <c r="E52" s="27">
        <f>IF($A52="", "", 'Hareket Girişi'!E54)</f>
        <v/>
      </c>
      <c r="F52" s="27">
        <f>IF($A52="", "", D52-E52)</f>
        <v/>
      </c>
    </row>
    <row r="53">
      <c r="A53" s="11">
        <f>IF('Hareket Girişi'!F55=3,'Hareket Girişi'!A55,"")</f>
        <v/>
      </c>
      <c r="B53">
        <f>IF($A53="", "", 'Hareket Girişi'!B55)</f>
        <v/>
      </c>
      <c r="C53">
        <f>IF($A53="", "", 'Hareket Girişi'!C55)</f>
        <v/>
      </c>
      <c r="D53" s="27">
        <f>IF($A53="", "", 'Hareket Girişi'!D55)</f>
        <v/>
      </c>
      <c r="E53" s="27">
        <f>IF($A53="", "", 'Hareket Girişi'!E55)</f>
        <v/>
      </c>
      <c r="F53" s="27">
        <f>IF($A53="", "", D53-E53)</f>
        <v/>
      </c>
    </row>
    <row r="54">
      <c r="A54" s="11">
        <f>IF('Hareket Girişi'!F56=3,'Hareket Girişi'!A56,"")</f>
        <v/>
      </c>
      <c r="B54">
        <f>IF($A54="", "", 'Hareket Girişi'!B56)</f>
        <v/>
      </c>
      <c r="C54">
        <f>IF($A54="", "", 'Hareket Girişi'!C56)</f>
        <v/>
      </c>
      <c r="D54" s="27">
        <f>IF($A54="", "", 'Hareket Girişi'!D56)</f>
        <v/>
      </c>
      <c r="E54" s="27">
        <f>IF($A54="", "", 'Hareket Girişi'!E56)</f>
        <v/>
      </c>
      <c r="F54" s="27">
        <f>IF($A54="", "", D54-E54)</f>
        <v/>
      </c>
    </row>
    <row r="55">
      <c r="A55" s="11">
        <f>IF('Hareket Girişi'!F57=3,'Hareket Girişi'!A57,"")</f>
        <v/>
      </c>
      <c r="B55">
        <f>IF($A55="", "", 'Hareket Girişi'!B57)</f>
        <v/>
      </c>
      <c r="C55">
        <f>IF($A55="", "", 'Hareket Girişi'!C57)</f>
        <v/>
      </c>
      <c r="D55" s="27">
        <f>IF($A55="", "", 'Hareket Girişi'!D57)</f>
        <v/>
      </c>
      <c r="E55" s="27">
        <f>IF($A55="", "", 'Hareket Girişi'!E57)</f>
        <v/>
      </c>
      <c r="F55" s="27">
        <f>IF($A55="", "", D55-E55)</f>
        <v/>
      </c>
    </row>
    <row r="56">
      <c r="A56" s="11">
        <f>IF('Hareket Girişi'!F58=3,'Hareket Girişi'!A58,"")</f>
        <v/>
      </c>
      <c r="B56">
        <f>IF($A56="", "", 'Hareket Girişi'!B58)</f>
        <v/>
      </c>
      <c r="C56">
        <f>IF($A56="", "", 'Hareket Girişi'!C58)</f>
        <v/>
      </c>
      <c r="D56" s="27">
        <f>IF($A56="", "", 'Hareket Girişi'!D58)</f>
        <v/>
      </c>
      <c r="E56" s="27">
        <f>IF($A56="", "", 'Hareket Girişi'!E58)</f>
        <v/>
      </c>
      <c r="F56" s="27">
        <f>IF($A56="", "", D56-E56)</f>
        <v/>
      </c>
    </row>
    <row r="57">
      <c r="A57" s="11">
        <f>IF('Hareket Girişi'!F59=3,'Hareket Girişi'!A59,"")</f>
        <v/>
      </c>
      <c r="B57">
        <f>IF($A57="", "", 'Hareket Girişi'!B59)</f>
        <v/>
      </c>
      <c r="C57">
        <f>IF($A57="", "", 'Hareket Girişi'!C59)</f>
        <v/>
      </c>
      <c r="D57" s="27">
        <f>IF($A57="", "", 'Hareket Girişi'!D59)</f>
        <v/>
      </c>
      <c r="E57" s="27">
        <f>IF($A57="", "", 'Hareket Girişi'!E59)</f>
        <v/>
      </c>
      <c r="F57" s="27">
        <f>IF($A57="", "", D57-E57)</f>
        <v/>
      </c>
    </row>
    <row r="58">
      <c r="A58" s="11">
        <f>IF('Hareket Girişi'!F60=3,'Hareket Girişi'!A60,"")</f>
        <v/>
      </c>
      <c r="B58">
        <f>IF($A58="", "", 'Hareket Girişi'!B60)</f>
        <v/>
      </c>
      <c r="C58">
        <f>IF($A58="", "", 'Hareket Girişi'!C60)</f>
        <v/>
      </c>
      <c r="D58" s="27">
        <f>IF($A58="", "", 'Hareket Girişi'!D60)</f>
        <v/>
      </c>
      <c r="E58" s="27">
        <f>IF($A58="", "", 'Hareket Girişi'!E60)</f>
        <v/>
      </c>
      <c r="F58" s="27">
        <f>IF($A58="", "", D58-E58)</f>
        <v/>
      </c>
    </row>
    <row r="59">
      <c r="A59" s="11">
        <f>IF('Hareket Girişi'!F61=3,'Hareket Girişi'!A61,"")</f>
        <v/>
      </c>
      <c r="B59">
        <f>IF($A59="", "", 'Hareket Girişi'!B61)</f>
        <v/>
      </c>
      <c r="C59">
        <f>IF($A59="", "", 'Hareket Girişi'!C61)</f>
        <v/>
      </c>
      <c r="D59" s="27">
        <f>IF($A59="", "", 'Hareket Girişi'!D61)</f>
        <v/>
      </c>
      <c r="E59" s="27">
        <f>IF($A59="", "", 'Hareket Girişi'!E61)</f>
        <v/>
      </c>
      <c r="F59" s="27">
        <f>IF($A59="", "", D59-E59)</f>
        <v/>
      </c>
    </row>
    <row r="60">
      <c r="A60" s="11">
        <f>IF('Hareket Girişi'!F62=3,'Hareket Girişi'!A62,"")</f>
        <v/>
      </c>
      <c r="B60">
        <f>IF($A60="", "", 'Hareket Girişi'!B62)</f>
        <v/>
      </c>
      <c r="C60">
        <f>IF($A60="", "", 'Hareket Girişi'!C62)</f>
        <v/>
      </c>
      <c r="D60" s="27">
        <f>IF($A60="", "", 'Hareket Girişi'!D62)</f>
        <v/>
      </c>
      <c r="E60" s="27">
        <f>IF($A60="", "", 'Hareket Girişi'!E62)</f>
        <v/>
      </c>
      <c r="F60" s="27">
        <f>IF($A60="", "", D60-E60)</f>
        <v/>
      </c>
    </row>
    <row r="61">
      <c r="A61" s="11">
        <f>IF('Hareket Girişi'!F63=3,'Hareket Girişi'!A63,"")</f>
        <v/>
      </c>
      <c r="B61">
        <f>IF($A61="", "", 'Hareket Girişi'!B63)</f>
        <v/>
      </c>
      <c r="C61">
        <f>IF($A61="", "", 'Hareket Girişi'!C63)</f>
        <v/>
      </c>
      <c r="D61" s="27">
        <f>IF($A61="", "", 'Hareket Girişi'!D63)</f>
        <v/>
      </c>
      <c r="E61" s="27">
        <f>IF($A61="", "", 'Hareket Girişi'!E63)</f>
        <v/>
      </c>
      <c r="F61" s="27">
        <f>IF($A61="", "", D61-E61)</f>
        <v/>
      </c>
    </row>
    <row r="62">
      <c r="A62" s="11">
        <f>IF('Hareket Girişi'!F64=3,'Hareket Girişi'!A64,"")</f>
        <v/>
      </c>
      <c r="B62">
        <f>IF($A62="", "", 'Hareket Girişi'!B64)</f>
        <v/>
      </c>
      <c r="C62">
        <f>IF($A62="", "", 'Hareket Girişi'!C64)</f>
        <v/>
      </c>
      <c r="D62" s="27">
        <f>IF($A62="", "", 'Hareket Girişi'!D64)</f>
        <v/>
      </c>
      <c r="E62" s="27">
        <f>IF($A62="", "", 'Hareket Girişi'!E64)</f>
        <v/>
      </c>
      <c r="F62" s="27">
        <f>IF($A62="", "", D62-E62)</f>
        <v/>
      </c>
    </row>
    <row r="63">
      <c r="A63" s="11">
        <f>IF('Hareket Girişi'!F65=3,'Hareket Girişi'!A65,"")</f>
        <v/>
      </c>
      <c r="B63">
        <f>IF($A63="", "", 'Hareket Girişi'!B65)</f>
        <v/>
      </c>
      <c r="C63">
        <f>IF($A63="", "", 'Hareket Girişi'!C65)</f>
        <v/>
      </c>
      <c r="D63" s="27">
        <f>IF($A63="", "", 'Hareket Girişi'!D65)</f>
        <v/>
      </c>
      <c r="E63" s="27">
        <f>IF($A63="", "", 'Hareket Girişi'!E65)</f>
        <v/>
      </c>
      <c r="F63" s="27">
        <f>IF($A63="", "", D63-E63)</f>
        <v/>
      </c>
    </row>
    <row r="64">
      <c r="A64" s="11">
        <f>IF('Hareket Girişi'!F66=3,'Hareket Girişi'!A66,"")</f>
        <v/>
      </c>
      <c r="B64">
        <f>IF($A64="", "", 'Hareket Girişi'!B66)</f>
        <v/>
      </c>
      <c r="C64">
        <f>IF($A64="", "", 'Hareket Girişi'!C66)</f>
        <v/>
      </c>
      <c r="D64" s="27">
        <f>IF($A64="", "", 'Hareket Girişi'!D66)</f>
        <v/>
      </c>
      <c r="E64" s="27">
        <f>IF($A64="", "", 'Hareket Girişi'!E66)</f>
        <v/>
      </c>
      <c r="F64" s="27">
        <f>IF($A64="", "", D64-E64)</f>
        <v/>
      </c>
    </row>
    <row r="65">
      <c r="A65" s="11">
        <f>IF('Hareket Girişi'!F67=3,'Hareket Girişi'!A67,"")</f>
        <v/>
      </c>
      <c r="B65">
        <f>IF($A65="", "", 'Hareket Girişi'!B67)</f>
        <v/>
      </c>
      <c r="C65">
        <f>IF($A65="", "", 'Hareket Girişi'!C67)</f>
        <v/>
      </c>
      <c r="D65" s="27">
        <f>IF($A65="", "", 'Hareket Girişi'!D67)</f>
        <v/>
      </c>
      <c r="E65" s="27">
        <f>IF($A65="", "", 'Hareket Girişi'!E67)</f>
        <v/>
      </c>
      <c r="F65" s="27">
        <f>IF($A65="", "", D65-E65)</f>
        <v/>
      </c>
    </row>
    <row r="66">
      <c r="A66" s="11">
        <f>IF('Hareket Girişi'!F68=3,'Hareket Girişi'!A68,"")</f>
        <v/>
      </c>
      <c r="B66">
        <f>IF($A66="", "", 'Hareket Girişi'!B68)</f>
        <v/>
      </c>
      <c r="C66">
        <f>IF($A66="", "", 'Hareket Girişi'!C68)</f>
        <v/>
      </c>
      <c r="D66" s="27">
        <f>IF($A66="", "", 'Hareket Girişi'!D68)</f>
        <v/>
      </c>
      <c r="E66" s="27">
        <f>IF($A66="", "", 'Hareket Girişi'!E68)</f>
        <v/>
      </c>
      <c r="F66" s="27">
        <f>IF($A66="", "", D66-E66)</f>
        <v/>
      </c>
    </row>
    <row r="67">
      <c r="A67" s="11">
        <f>IF('Hareket Girişi'!F69=3,'Hareket Girişi'!A69,"")</f>
        <v/>
      </c>
      <c r="B67">
        <f>IF($A67="", "", 'Hareket Girişi'!B69)</f>
        <v/>
      </c>
      <c r="C67">
        <f>IF($A67="", "", 'Hareket Girişi'!C69)</f>
        <v/>
      </c>
      <c r="D67" s="27">
        <f>IF($A67="", "", 'Hareket Girişi'!D69)</f>
        <v/>
      </c>
      <c r="E67" s="27">
        <f>IF($A67="", "", 'Hareket Girişi'!E69)</f>
        <v/>
      </c>
      <c r="F67" s="27">
        <f>IF($A67="", "", D67-E67)</f>
        <v/>
      </c>
    </row>
    <row r="68">
      <c r="A68" s="11">
        <f>IF('Hareket Girişi'!F70=3,'Hareket Girişi'!A70,"")</f>
        <v/>
      </c>
      <c r="B68">
        <f>IF($A68="", "", 'Hareket Girişi'!B70)</f>
        <v/>
      </c>
      <c r="C68">
        <f>IF($A68="", "", 'Hareket Girişi'!C70)</f>
        <v/>
      </c>
      <c r="D68" s="27">
        <f>IF($A68="", "", 'Hareket Girişi'!D70)</f>
        <v/>
      </c>
      <c r="E68" s="27">
        <f>IF($A68="", "", 'Hareket Girişi'!E70)</f>
        <v/>
      </c>
      <c r="F68" s="27">
        <f>IF($A68="", "", D68-E68)</f>
        <v/>
      </c>
    </row>
    <row r="69">
      <c r="A69" s="11">
        <f>IF('Hareket Girişi'!F71=3,'Hareket Girişi'!A71,"")</f>
        <v/>
      </c>
      <c r="B69">
        <f>IF($A69="", "", 'Hareket Girişi'!B71)</f>
        <v/>
      </c>
      <c r="C69">
        <f>IF($A69="", "", 'Hareket Girişi'!C71)</f>
        <v/>
      </c>
      <c r="D69" s="27">
        <f>IF($A69="", "", 'Hareket Girişi'!D71)</f>
        <v/>
      </c>
      <c r="E69" s="27">
        <f>IF($A69="", "", 'Hareket Girişi'!E71)</f>
        <v/>
      </c>
      <c r="F69" s="27">
        <f>IF($A69="", "", D69-E69)</f>
        <v/>
      </c>
    </row>
    <row r="70">
      <c r="A70" s="11">
        <f>IF('Hareket Girişi'!F72=3,'Hareket Girişi'!A72,"")</f>
        <v/>
      </c>
      <c r="B70">
        <f>IF($A70="", "", 'Hareket Girişi'!B72)</f>
        <v/>
      </c>
      <c r="C70">
        <f>IF($A70="", "", 'Hareket Girişi'!C72)</f>
        <v/>
      </c>
      <c r="D70" s="27">
        <f>IF($A70="", "", 'Hareket Girişi'!D72)</f>
        <v/>
      </c>
      <c r="E70" s="27">
        <f>IF($A70="", "", 'Hareket Girişi'!E72)</f>
        <v/>
      </c>
      <c r="F70" s="27">
        <f>IF($A70="", "", D70-E70)</f>
        <v/>
      </c>
    </row>
    <row r="71">
      <c r="A71" s="11">
        <f>IF('Hareket Girişi'!F73=3,'Hareket Girişi'!A73,"")</f>
        <v/>
      </c>
      <c r="B71">
        <f>IF($A71="", "", 'Hareket Girişi'!B73)</f>
        <v/>
      </c>
      <c r="C71">
        <f>IF($A71="", "", 'Hareket Girişi'!C73)</f>
        <v/>
      </c>
      <c r="D71" s="27">
        <f>IF($A71="", "", 'Hareket Girişi'!D73)</f>
        <v/>
      </c>
      <c r="E71" s="27">
        <f>IF($A71="", "", 'Hareket Girişi'!E73)</f>
        <v/>
      </c>
      <c r="F71" s="27">
        <f>IF($A71="", "", D71-E71)</f>
        <v/>
      </c>
    </row>
    <row r="72">
      <c r="A72" s="11">
        <f>IF('Hareket Girişi'!F74=3,'Hareket Girişi'!A74,"")</f>
        <v/>
      </c>
      <c r="B72">
        <f>IF($A72="", "", 'Hareket Girişi'!B74)</f>
        <v/>
      </c>
      <c r="C72">
        <f>IF($A72="", "", 'Hareket Girişi'!C74)</f>
        <v/>
      </c>
      <c r="D72" s="27">
        <f>IF($A72="", "", 'Hareket Girişi'!D74)</f>
        <v/>
      </c>
      <c r="E72" s="27">
        <f>IF($A72="", "", 'Hareket Girişi'!E74)</f>
        <v/>
      </c>
      <c r="F72" s="27">
        <f>IF($A72="", "", D72-E72)</f>
        <v/>
      </c>
    </row>
    <row r="73">
      <c r="A73" s="11">
        <f>IF('Hareket Girişi'!F75=3,'Hareket Girişi'!A75,"")</f>
        <v/>
      </c>
      <c r="B73">
        <f>IF($A73="", "", 'Hareket Girişi'!B75)</f>
        <v/>
      </c>
      <c r="C73">
        <f>IF($A73="", "", 'Hareket Girişi'!C75)</f>
        <v/>
      </c>
      <c r="D73" s="27">
        <f>IF($A73="", "", 'Hareket Girişi'!D75)</f>
        <v/>
      </c>
      <c r="E73" s="27">
        <f>IF($A73="", "", 'Hareket Girişi'!E75)</f>
        <v/>
      </c>
      <c r="F73" s="27">
        <f>IF($A73="", "", D73-E73)</f>
        <v/>
      </c>
    </row>
    <row r="74">
      <c r="A74" s="11">
        <f>IF('Hareket Girişi'!F76=3,'Hareket Girişi'!A76,"")</f>
        <v/>
      </c>
      <c r="B74">
        <f>IF($A74="", "", 'Hareket Girişi'!B76)</f>
        <v/>
      </c>
      <c r="C74">
        <f>IF($A74="", "", 'Hareket Girişi'!C76)</f>
        <v/>
      </c>
      <c r="D74" s="27">
        <f>IF($A74="", "", 'Hareket Girişi'!D76)</f>
        <v/>
      </c>
      <c r="E74" s="27">
        <f>IF($A74="", "", 'Hareket Girişi'!E76)</f>
        <v/>
      </c>
      <c r="F74" s="27">
        <f>IF($A74="", "", D74-E74)</f>
        <v/>
      </c>
    </row>
    <row r="75">
      <c r="A75" s="11">
        <f>IF('Hareket Girişi'!F77=3,'Hareket Girişi'!A77,"")</f>
        <v/>
      </c>
      <c r="B75">
        <f>IF($A75="", "", 'Hareket Girişi'!B77)</f>
        <v/>
      </c>
      <c r="C75">
        <f>IF($A75="", "", 'Hareket Girişi'!C77)</f>
        <v/>
      </c>
      <c r="D75" s="27">
        <f>IF($A75="", "", 'Hareket Girişi'!D77)</f>
        <v/>
      </c>
      <c r="E75" s="27">
        <f>IF($A75="", "", 'Hareket Girişi'!E77)</f>
        <v/>
      </c>
      <c r="F75" s="27">
        <f>IF($A75="", "", D75-E75)</f>
        <v/>
      </c>
    </row>
    <row r="76">
      <c r="A76" s="11">
        <f>IF('Hareket Girişi'!F78=3,'Hareket Girişi'!A78,"")</f>
        <v/>
      </c>
      <c r="B76">
        <f>IF($A76="", "", 'Hareket Girişi'!B78)</f>
        <v/>
      </c>
      <c r="C76">
        <f>IF($A76="", "", 'Hareket Girişi'!C78)</f>
        <v/>
      </c>
      <c r="D76" s="27">
        <f>IF($A76="", "", 'Hareket Girişi'!D78)</f>
        <v/>
      </c>
      <c r="E76" s="27">
        <f>IF($A76="", "", 'Hareket Girişi'!E78)</f>
        <v/>
      </c>
      <c r="F76" s="27">
        <f>IF($A76="", "", D76-E76)</f>
        <v/>
      </c>
    </row>
    <row r="77">
      <c r="A77" s="11">
        <f>IF('Hareket Girişi'!F79=3,'Hareket Girişi'!A79,"")</f>
        <v/>
      </c>
      <c r="B77">
        <f>IF($A77="", "", 'Hareket Girişi'!B79)</f>
        <v/>
      </c>
      <c r="C77">
        <f>IF($A77="", "", 'Hareket Girişi'!C79)</f>
        <v/>
      </c>
      <c r="D77" s="27">
        <f>IF($A77="", "", 'Hareket Girişi'!D79)</f>
        <v/>
      </c>
      <c r="E77" s="27">
        <f>IF($A77="", "", 'Hareket Girişi'!E79)</f>
        <v/>
      </c>
      <c r="F77" s="27">
        <f>IF($A77="", "", D77-E77)</f>
        <v/>
      </c>
    </row>
    <row r="78">
      <c r="A78" s="11">
        <f>IF('Hareket Girişi'!F80=3,'Hareket Girişi'!A80,"")</f>
        <v/>
      </c>
      <c r="B78">
        <f>IF($A78="", "", 'Hareket Girişi'!B80)</f>
        <v/>
      </c>
      <c r="C78">
        <f>IF($A78="", "", 'Hareket Girişi'!C80)</f>
        <v/>
      </c>
      <c r="D78" s="27">
        <f>IF($A78="", "", 'Hareket Girişi'!D80)</f>
        <v/>
      </c>
      <c r="E78" s="27">
        <f>IF($A78="", "", 'Hareket Girişi'!E80)</f>
        <v/>
      </c>
      <c r="F78" s="27">
        <f>IF($A78="", "", D78-E78)</f>
        <v/>
      </c>
    </row>
    <row r="79">
      <c r="A79" s="11">
        <f>IF('Hareket Girişi'!F81=3,'Hareket Girişi'!A81,"")</f>
        <v/>
      </c>
      <c r="B79">
        <f>IF($A79="", "", 'Hareket Girişi'!B81)</f>
        <v/>
      </c>
      <c r="C79">
        <f>IF($A79="", "", 'Hareket Girişi'!C81)</f>
        <v/>
      </c>
      <c r="D79" s="27">
        <f>IF($A79="", "", 'Hareket Girişi'!D81)</f>
        <v/>
      </c>
      <c r="E79" s="27">
        <f>IF($A79="", "", 'Hareket Girişi'!E81)</f>
        <v/>
      </c>
      <c r="F79" s="27">
        <f>IF($A79="", "", D79-E79)</f>
        <v/>
      </c>
    </row>
    <row r="80">
      <c r="A80" s="11">
        <f>IF('Hareket Girişi'!F82=3,'Hareket Girişi'!A82,"")</f>
        <v/>
      </c>
      <c r="B80">
        <f>IF($A80="", "", 'Hareket Girişi'!B82)</f>
        <v/>
      </c>
      <c r="C80">
        <f>IF($A80="", "", 'Hareket Girişi'!C82)</f>
        <v/>
      </c>
      <c r="D80" s="27">
        <f>IF($A80="", "", 'Hareket Girişi'!D82)</f>
        <v/>
      </c>
      <c r="E80" s="27">
        <f>IF($A80="", "", 'Hareket Girişi'!E82)</f>
        <v/>
      </c>
      <c r="F80" s="27">
        <f>IF($A80="", "", D80-E80)</f>
        <v/>
      </c>
    </row>
    <row r="81">
      <c r="A81" s="11">
        <f>IF('Hareket Girişi'!F83=3,'Hareket Girişi'!A83,"")</f>
        <v/>
      </c>
      <c r="B81">
        <f>IF($A81="", "", 'Hareket Girişi'!B83)</f>
        <v/>
      </c>
      <c r="C81">
        <f>IF($A81="", "", 'Hareket Girişi'!C83)</f>
        <v/>
      </c>
      <c r="D81" s="27">
        <f>IF($A81="", "", 'Hareket Girişi'!D83)</f>
        <v/>
      </c>
      <c r="E81" s="27">
        <f>IF($A81="", "", 'Hareket Girişi'!E83)</f>
        <v/>
      </c>
      <c r="F81" s="27">
        <f>IF($A81="", "", D81-E81)</f>
        <v/>
      </c>
    </row>
    <row r="82">
      <c r="A82" s="11">
        <f>IF('Hareket Girişi'!F84=3,'Hareket Girişi'!A84,"")</f>
        <v/>
      </c>
      <c r="B82">
        <f>IF($A82="", "", 'Hareket Girişi'!B84)</f>
        <v/>
      </c>
      <c r="C82">
        <f>IF($A82="", "", 'Hareket Girişi'!C84)</f>
        <v/>
      </c>
      <c r="D82" s="27">
        <f>IF($A82="", "", 'Hareket Girişi'!D84)</f>
        <v/>
      </c>
      <c r="E82" s="27">
        <f>IF($A82="", "", 'Hareket Girişi'!E84)</f>
        <v/>
      </c>
      <c r="F82" s="27">
        <f>IF($A82="", "", D82-E82)</f>
        <v/>
      </c>
    </row>
    <row r="83">
      <c r="A83" s="11">
        <f>IF('Hareket Girişi'!F85=3,'Hareket Girişi'!A85,"")</f>
        <v/>
      </c>
      <c r="B83">
        <f>IF($A83="", "", 'Hareket Girişi'!B85)</f>
        <v/>
      </c>
      <c r="C83">
        <f>IF($A83="", "", 'Hareket Girişi'!C85)</f>
        <v/>
      </c>
      <c r="D83" s="27">
        <f>IF($A83="", "", 'Hareket Girişi'!D85)</f>
        <v/>
      </c>
      <c r="E83" s="27">
        <f>IF($A83="", "", 'Hareket Girişi'!E85)</f>
        <v/>
      </c>
      <c r="F83" s="27">
        <f>IF($A83="", "", D83-E83)</f>
        <v/>
      </c>
    </row>
    <row r="84">
      <c r="A84" s="11">
        <f>IF('Hareket Girişi'!F86=3,'Hareket Girişi'!A86,"")</f>
        <v/>
      </c>
      <c r="B84">
        <f>IF($A84="", "", 'Hareket Girişi'!B86)</f>
        <v/>
      </c>
      <c r="C84">
        <f>IF($A84="", "", 'Hareket Girişi'!C86)</f>
        <v/>
      </c>
      <c r="D84" s="27">
        <f>IF($A84="", "", 'Hareket Girişi'!D86)</f>
        <v/>
      </c>
      <c r="E84" s="27">
        <f>IF($A84="", "", 'Hareket Girişi'!E86)</f>
        <v/>
      </c>
      <c r="F84" s="27">
        <f>IF($A84="", "", D84-E84)</f>
        <v/>
      </c>
    </row>
    <row r="85">
      <c r="A85" s="11">
        <f>IF('Hareket Girişi'!F87=3,'Hareket Girişi'!A87,"")</f>
        <v/>
      </c>
      <c r="B85">
        <f>IF($A85="", "", 'Hareket Girişi'!B87)</f>
        <v/>
      </c>
      <c r="C85">
        <f>IF($A85="", "", 'Hareket Girişi'!C87)</f>
        <v/>
      </c>
      <c r="D85" s="27">
        <f>IF($A85="", "", 'Hareket Girişi'!D87)</f>
        <v/>
      </c>
      <c r="E85" s="27">
        <f>IF($A85="", "", 'Hareket Girişi'!E87)</f>
        <v/>
      </c>
      <c r="F85" s="27">
        <f>IF($A85="", "", D85-E85)</f>
        <v/>
      </c>
    </row>
    <row r="86">
      <c r="A86" s="11">
        <f>IF('Hareket Girişi'!F88=3,'Hareket Girişi'!A88,"")</f>
        <v/>
      </c>
      <c r="B86">
        <f>IF($A86="", "", 'Hareket Girişi'!B88)</f>
        <v/>
      </c>
      <c r="C86">
        <f>IF($A86="", "", 'Hareket Girişi'!C88)</f>
        <v/>
      </c>
      <c r="D86" s="27">
        <f>IF($A86="", "", 'Hareket Girişi'!D88)</f>
        <v/>
      </c>
      <c r="E86" s="27">
        <f>IF($A86="", "", 'Hareket Girişi'!E88)</f>
        <v/>
      </c>
      <c r="F86" s="27">
        <f>IF($A86="", "", D86-E86)</f>
        <v/>
      </c>
    </row>
    <row r="87">
      <c r="A87" s="11">
        <f>IF('Hareket Girişi'!F89=3,'Hareket Girişi'!A89,"")</f>
        <v/>
      </c>
      <c r="B87">
        <f>IF($A87="", "", 'Hareket Girişi'!B89)</f>
        <v/>
      </c>
      <c r="C87">
        <f>IF($A87="", "", 'Hareket Girişi'!C89)</f>
        <v/>
      </c>
      <c r="D87" s="27">
        <f>IF($A87="", "", 'Hareket Girişi'!D89)</f>
        <v/>
      </c>
      <c r="E87" s="27">
        <f>IF($A87="", "", 'Hareket Girişi'!E89)</f>
        <v/>
      </c>
      <c r="F87" s="27">
        <f>IF($A87="", "", D87-E87)</f>
        <v/>
      </c>
    </row>
    <row r="88">
      <c r="A88" s="11">
        <f>IF('Hareket Girişi'!F90=3,'Hareket Girişi'!A90,"")</f>
        <v/>
      </c>
      <c r="B88">
        <f>IF($A88="", "", 'Hareket Girişi'!B90)</f>
        <v/>
      </c>
      <c r="C88">
        <f>IF($A88="", "", 'Hareket Girişi'!C90)</f>
        <v/>
      </c>
      <c r="D88" s="27">
        <f>IF($A88="", "", 'Hareket Girişi'!D90)</f>
        <v/>
      </c>
      <c r="E88" s="27">
        <f>IF($A88="", "", 'Hareket Girişi'!E90)</f>
        <v/>
      </c>
      <c r="F88" s="27">
        <f>IF($A88="", "", D88-E88)</f>
        <v/>
      </c>
    </row>
    <row r="89">
      <c r="A89" s="11">
        <f>IF('Hareket Girişi'!F91=3,'Hareket Girişi'!A91,"")</f>
        <v/>
      </c>
      <c r="B89">
        <f>IF($A89="", "", 'Hareket Girişi'!B91)</f>
        <v/>
      </c>
      <c r="C89">
        <f>IF($A89="", "", 'Hareket Girişi'!C91)</f>
        <v/>
      </c>
      <c r="D89" s="27">
        <f>IF($A89="", "", 'Hareket Girişi'!D91)</f>
        <v/>
      </c>
      <c r="E89" s="27">
        <f>IF($A89="", "", 'Hareket Girişi'!E91)</f>
        <v/>
      </c>
      <c r="F89" s="27">
        <f>IF($A89="", "", D89-E89)</f>
        <v/>
      </c>
    </row>
    <row r="90">
      <c r="A90" s="11">
        <f>IF('Hareket Girişi'!F92=3,'Hareket Girişi'!A92,"")</f>
        <v/>
      </c>
      <c r="B90">
        <f>IF($A90="", "", 'Hareket Girişi'!B92)</f>
        <v/>
      </c>
      <c r="C90">
        <f>IF($A90="", "", 'Hareket Girişi'!C92)</f>
        <v/>
      </c>
      <c r="D90" s="27">
        <f>IF($A90="", "", 'Hareket Girişi'!D92)</f>
        <v/>
      </c>
      <c r="E90" s="27">
        <f>IF($A90="", "", 'Hareket Girişi'!E92)</f>
        <v/>
      </c>
      <c r="F90" s="27">
        <f>IF($A90="", "", D90-E90)</f>
        <v/>
      </c>
    </row>
    <row r="91">
      <c r="A91" s="11">
        <f>IF('Hareket Girişi'!F93=3,'Hareket Girişi'!A93,"")</f>
        <v/>
      </c>
      <c r="B91">
        <f>IF($A91="", "", 'Hareket Girişi'!B93)</f>
        <v/>
      </c>
      <c r="C91">
        <f>IF($A91="", "", 'Hareket Girişi'!C93)</f>
        <v/>
      </c>
      <c r="D91" s="27">
        <f>IF($A91="", "", 'Hareket Girişi'!D93)</f>
        <v/>
      </c>
      <c r="E91" s="27">
        <f>IF($A91="", "", 'Hareket Girişi'!E93)</f>
        <v/>
      </c>
      <c r="F91" s="27">
        <f>IF($A91="", "", D91-E91)</f>
        <v/>
      </c>
    </row>
    <row r="92">
      <c r="A92" s="11">
        <f>IF('Hareket Girişi'!F94=3,'Hareket Girişi'!A94,"")</f>
        <v/>
      </c>
      <c r="B92">
        <f>IF($A92="", "", 'Hareket Girişi'!B94)</f>
        <v/>
      </c>
      <c r="C92">
        <f>IF($A92="", "", 'Hareket Girişi'!C94)</f>
        <v/>
      </c>
      <c r="D92" s="27">
        <f>IF($A92="", "", 'Hareket Girişi'!D94)</f>
        <v/>
      </c>
      <c r="E92" s="27">
        <f>IF($A92="", "", 'Hareket Girişi'!E94)</f>
        <v/>
      </c>
      <c r="F92" s="27">
        <f>IF($A92="", "", D92-E92)</f>
        <v/>
      </c>
    </row>
    <row r="93">
      <c r="A93" s="11">
        <f>IF('Hareket Girişi'!F95=3,'Hareket Girişi'!A95,"")</f>
        <v/>
      </c>
      <c r="B93">
        <f>IF($A93="", "", 'Hareket Girişi'!B95)</f>
        <v/>
      </c>
      <c r="C93">
        <f>IF($A93="", "", 'Hareket Girişi'!C95)</f>
        <v/>
      </c>
      <c r="D93" s="27">
        <f>IF($A93="", "", 'Hareket Girişi'!D95)</f>
        <v/>
      </c>
      <c r="E93" s="27">
        <f>IF($A93="", "", 'Hareket Girişi'!E95)</f>
        <v/>
      </c>
      <c r="F93" s="27">
        <f>IF($A93="", "", D93-E93)</f>
        <v/>
      </c>
    </row>
    <row r="94">
      <c r="A94" s="11">
        <f>IF('Hareket Girişi'!F96=3,'Hareket Girişi'!A96,"")</f>
        <v/>
      </c>
      <c r="B94">
        <f>IF($A94="", "", 'Hareket Girişi'!B96)</f>
        <v/>
      </c>
      <c r="C94">
        <f>IF($A94="", "", 'Hareket Girişi'!C96)</f>
        <v/>
      </c>
      <c r="D94" s="27">
        <f>IF($A94="", "", 'Hareket Girişi'!D96)</f>
        <v/>
      </c>
      <c r="E94" s="27">
        <f>IF($A94="", "", 'Hareket Girişi'!E96)</f>
        <v/>
      </c>
      <c r="F94" s="27">
        <f>IF($A94="", "", D94-E94)</f>
        <v/>
      </c>
    </row>
    <row r="95">
      <c r="A95" s="11">
        <f>IF('Hareket Girişi'!F97=3,'Hareket Girişi'!A97,"")</f>
        <v/>
      </c>
      <c r="B95">
        <f>IF($A95="", "", 'Hareket Girişi'!B97)</f>
        <v/>
      </c>
      <c r="C95">
        <f>IF($A95="", "", 'Hareket Girişi'!C97)</f>
        <v/>
      </c>
      <c r="D95" s="27">
        <f>IF($A95="", "", 'Hareket Girişi'!D97)</f>
        <v/>
      </c>
      <c r="E95" s="27">
        <f>IF($A95="", "", 'Hareket Girişi'!E97)</f>
        <v/>
      </c>
      <c r="F95" s="27">
        <f>IF($A95="", "", D95-E95)</f>
        <v/>
      </c>
    </row>
    <row r="96">
      <c r="A96" s="11">
        <f>IF('Hareket Girişi'!F98=3,'Hareket Girişi'!A98,"")</f>
        <v/>
      </c>
      <c r="B96">
        <f>IF($A96="", "", 'Hareket Girişi'!B98)</f>
        <v/>
      </c>
      <c r="C96">
        <f>IF($A96="", "", 'Hareket Girişi'!C98)</f>
        <v/>
      </c>
      <c r="D96" s="27">
        <f>IF($A96="", "", 'Hareket Girişi'!D98)</f>
        <v/>
      </c>
      <c r="E96" s="27">
        <f>IF($A96="", "", 'Hareket Girişi'!E98)</f>
        <v/>
      </c>
      <c r="F96" s="27">
        <f>IF($A96="", "", D96-E96)</f>
        <v/>
      </c>
    </row>
    <row r="97">
      <c r="A97" s="11">
        <f>IF('Hareket Girişi'!F99=3,'Hareket Girişi'!A99,"")</f>
        <v/>
      </c>
      <c r="B97">
        <f>IF($A97="", "", 'Hareket Girişi'!B99)</f>
        <v/>
      </c>
      <c r="C97">
        <f>IF($A97="", "", 'Hareket Girişi'!C99)</f>
        <v/>
      </c>
      <c r="D97" s="27">
        <f>IF($A97="", "", 'Hareket Girişi'!D99)</f>
        <v/>
      </c>
      <c r="E97" s="27">
        <f>IF($A97="", "", 'Hareket Girişi'!E99)</f>
        <v/>
      </c>
      <c r="F97" s="27">
        <f>IF($A97="", "", D97-E97)</f>
        <v/>
      </c>
    </row>
    <row r="98">
      <c r="A98" s="11">
        <f>IF('Hareket Girişi'!F100=3,'Hareket Girişi'!A100,"")</f>
        <v/>
      </c>
      <c r="B98">
        <f>IF($A98="", "", 'Hareket Girişi'!B100)</f>
        <v/>
      </c>
      <c r="C98">
        <f>IF($A98="", "", 'Hareket Girişi'!C100)</f>
        <v/>
      </c>
      <c r="D98" s="27">
        <f>IF($A98="", "", 'Hareket Girişi'!D100)</f>
        <v/>
      </c>
      <c r="E98" s="27">
        <f>IF($A98="", "", 'Hareket Girişi'!E100)</f>
        <v/>
      </c>
      <c r="F98" s="27">
        <f>IF($A98="", "", D98-E98)</f>
        <v/>
      </c>
    </row>
    <row r="99">
      <c r="A99" s="11">
        <f>IF('Hareket Girişi'!F101=3,'Hareket Girişi'!A101,"")</f>
        <v/>
      </c>
      <c r="B99">
        <f>IF($A99="", "", 'Hareket Girişi'!B101)</f>
        <v/>
      </c>
      <c r="C99">
        <f>IF($A99="", "", 'Hareket Girişi'!C101)</f>
        <v/>
      </c>
      <c r="D99" s="27">
        <f>IF($A99="", "", 'Hareket Girişi'!D101)</f>
        <v/>
      </c>
      <c r="E99" s="27">
        <f>IF($A99="", "", 'Hareket Girişi'!E101)</f>
        <v/>
      </c>
      <c r="F99" s="27">
        <f>IF($A99="", "", D99-E99)</f>
        <v/>
      </c>
    </row>
    <row r="100">
      <c r="A100" s="11">
        <f>IF('Hareket Girişi'!F102=3,'Hareket Girişi'!A102,"")</f>
        <v/>
      </c>
      <c r="B100">
        <f>IF($A100="", "", 'Hareket Girişi'!B102)</f>
        <v/>
      </c>
      <c r="C100">
        <f>IF($A100="", "", 'Hareket Girişi'!C102)</f>
        <v/>
      </c>
      <c r="D100" s="27">
        <f>IF($A100="", "", 'Hareket Girişi'!D102)</f>
        <v/>
      </c>
      <c r="E100" s="27">
        <f>IF($A100="", "", 'Hareket Girişi'!E102)</f>
        <v/>
      </c>
      <c r="F100" s="27">
        <f>IF($A100="", "", D100-E100)</f>
        <v/>
      </c>
    </row>
    <row r="101">
      <c r="A101" s="11">
        <f>IF('Hareket Girişi'!F103=3,'Hareket Girişi'!A103,"")</f>
        <v/>
      </c>
      <c r="B101">
        <f>IF($A101="", "", 'Hareket Girişi'!B103)</f>
        <v/>
      </c>
      <c r="C101">
        <f>IF($A101="", "", 'Hareket Girişi'!C103)</f>
        <v/>
      </c>
      <c r="D101" s="27">
        <f>IF($A101="", "", 'Hareket Girişi'!D103)</f>
        <v/>
      </c>
      <c r="E101" s="27">
        <f>IF($A101="", "", 'Hareket Girişi'!E103)</f>
        <v/>
      </c>
      <c r="F101" s="27">
        <f>IF($A101="", "", D101-E101)</f>
        <v/>
      </c>
    </row>
    <row r="102">
      <c r="A102" s="11">
        <f>IF('Hareket Girişi'!F104=3,'Hareket Girişi'!A104,"")</f>
        <v/>
      </c>
      <c r="B102">
        <f>IF($A102="", "", 'Hareket Girişi'!B104)</f>
        <v/>
      </c>
      <c r="C102">
        <f>IF($A102="", "", 'Hareket Girişi'!C104)</f>
        <v/>
      </c>
      <c r="D102" s="27">
        <f>IF($A102="", "", 'Hareket Girişi'!D104)</f>
        <v/>
      </c>
      <c r="E102" s="27">
        <f>IF($A102="", "", 'Hareket Girişi'!E104)</f>
        <v/>
      </c>
      <c r="F102" s="27">
        <f>IF($A102="", "", D102-E102)</f>
        <v/>
      </c>
    </row>
    <row r="103">
      <c r="A103" s="11">
        <f>IF('Hareket Girişi'!F105=3,'Hareket Girişi'!A105,"")</f>
        <v/>
      </c>
      <c r="B103">
        <f>IF($A103="", "", 'Hareket Girişi'!B105)</f>
        <v/>
      </c>
      <c r="C103">
        <f>IF($A103="", "", 'Hareket Girişi'!C105)</f>
        <v/>
      </c>
      <c r="D103" s="27">
        <f>IF($A103="", "", 'Hareket Girişi'!D105)</f>
        <v/>
      </c>
      <c r="E103" s="27">
        <f>IF($A103="", "", 'Hareket Girişi'!E105)</f>
        <v/>
      </c>
      <c r="F103" s="27">
        <f>IF($A103="", "", D103-E103)</f>
        <v/>
      </c>
    </row>
    <row r="104">
      <c r="A104" s="11">
        <f>IF('Hareket Girişi'!F106=3,'Hareket Girişi'!A106,"")</f>
        <v/>
      </c>
      <c r="B104">
        <f>IF($A104="", "", 'Hareket Girişi'!B106)</f>
        <v/>
      </c>
      <c r="C104">
        <f>IF($A104="", "", 'Hareket Girişi'!C106)</f>
        <v/>
      </c>
      <c r="D104" s="27">
        <f>IF($A104="", "", 'Hareket Girişi'!D106)</f>
        <v/>
      </c>
      <c r="E104" s="27">
        <f>IF($A104="", "", 'Hareket Girişi'!E106)</f>
        <v/>
      </c>
      <c r="F104" s="27">
        <f>IF($A104="", "", D104-E104)</f>
        <v/>
      </c>
    </row>
    <row r="105">
      <c r="A105" s="11">
        <f>IF('Hareket Girişi'!F107=3,'Hareket Girişi'!A107,"")</f>
        <v/>
      </c>
      <c r="B105">
        <f>IF($A105="", "", 'Hareket Girişi'!B107)</f>
        <v/>
      </c>
      <c r="C105">
        <f>IF($A105="", "", 'Hareket Girişi'!C107)</f>
        <v/>
      </c>
      <c r="D105" s="27">
        <f>IF($A105="", "", 'Hareket Girişi'!D107)</f>
        <v/>
      </c>
      <c r="E105" s="27">
        <f>IF($A105="", "", 'Hareket Girişi'!E107)</f>
        <v/>
      </c>
      <c r="F105" s="27">
        <f>IF($A105="", "", D105-E105)</f>
        <v/>
      </c>
    </row>
    <row r="106">
      <c r="A106" s="11">
        <f>IF('Hareket Girişi'!F108=3,'Hareket Girişi'!A108,"")</f>
        <v/>
      </c>
      <c r="B106">
        <f>IF($A106="", "", 'Hareket Girişi'!B108)</f>
        <v/>
      </c>
      <c r="C106">
        <f>IF($A106="", "", 'Hareket Girişi'!C108)</f>
        <v/>
      </c>
      <c r="D106" s="27">
        <f>IF($A106="", "", 'Hareket Girişi'!D108)</f>
        <v/>
      </c>
      <c r="E106" s="27">
        <f>IF($A106="", "", 'Hareket Girişi'!E108)</f>
        <v/>
      </c>
      <c r="F106" s="27">
        <f>IF($A106="", "", D106-E106)</f>
        <v/>
      </c>
    </row>
    <row r="107">
      <c r="A107" s="11">
        <f>IF('Hareket Girişi'!F109=3,'Hareket Girişi'!A109,"")</f>
        <v/>
      </c>
      <c r="B107">
        <f>IF($A107="", "", 'Hareket Girişi'!B109)</f>
        <v/>
      </c>
      <c r="C107">
        <f>IF($A107="", "", 'Hareket Girişi'!C109)</f>
        <v/>
      </c>
      <c r="D107" s="27">
        <f>IF($A107="", "", 'Hareket Girişi'!D109)</f>
        <v/>
      </c>
      <c r="E107" s="27">
        <f>IF($A107="", "", 'Hareket Girişi'!E109)</f>
        <v/>
      </c>
      <c r="F107" s="27">
        <f>IF($A107="", "", D107-E107)</f>
        <v/>
      </c>
    </row>
    <row r="108">
      <c r="A108" s="11">
        <f>IF('Hareket Girişi'!F110=3,'Hareket Girişi'!A110,"")</f>
        <v/>
      </c>
      <c r="B108">
        <f>IF($A108="", "", 'Hareket Girişi'!B110)</f>
        <v/>
      </c>
      <c r="C108">
        <f>IF($A108="", "", 'Hareket Girişi'!C110)</f>
        <v/>
      </c>
      <c r="D108" s="27">
        <f>IF($A108="", "", 'Hareket Girişi'!D110)</f>
        <v/>
      </c>
      <c r="E108" s="27">
        <f>IF($A108="", "", 'Hareket Girişi'!E110)</f>
        <v/>
      </c>
      <c r="F108" s="27">
        <f>IF($A108="", "", D108-E108)</f>
        <v/>
      </c>
    </row>
    <row r="109">
      <c r="A109" s="11">
        <f>IF('Hareket Girişi'!F111=3,'Hareket Girişi'!A111,"")</f>
        <v/>
      </c>
      <c r="B109">
        <f>IF($A109="", "", 'Hareket Girişi'!B111)</f>
        <v/>
      </c>
      <c r="C109">
        <f>IF($A109="", "", 'Hareket Girişi'!C111)</f>
        <v/>
      </c>
      <c r="D109" s="27">
        <f>IF($A109="", "", 'Hareket Girişi'!D111)</f>
        <v/>
      </c>
      <c r="E109" s="27">
        <f>IF($A109="", "", 'Hareket Girişi'!E111)</f>
        <v/>
      </c>
      <c r="F109" s="27">
        <f>IF($A109="", "", D109-E109)</f>
        <v/>
      </c>
    </row>
    <row r="110">
      <c r="A110" s="11">
        <f>IF('Hareket Girişi'!F112=3,'Hareket Girişi'!A112,"")</f>
        <v/>
      </c>
      <c r="B110">
        <f>IF($A110="", "", 'Hareket Girişi'!B112)</f>
        <v/>
      </c>
      <c r="C110">
        <f>IF($A110="", "", 'Hareket Girişi'!C112)</f>
        <v/>
      </c>
      <c r="D110" s="27">
        <f>IF($A110="", "", 'Hareket Girişi'!D112)</f>
        <v/>
      </c>
      <c r="E110" s="27">
        <f>IF($A110="", "", 'Hareket Girişi'!E112)</f>
        <v/>
      </c>
      <c r="F110" s="27">
        <f>IF($A110="", "", D110-E110)</f>
        <v/>
      </c>
    </row>
    <row r="111">
      <c r="A111" s="11">
        <f>IF('Hareket Girişi'!F113=3,'Hareket Girişi'!A113,"")</f>
        <v/>
      </c>
      <c r="B111">
        <f>IF($A111="", "", 'Hareket Girişi'!B113)</f>
        <v/>
      </c>
      <c r="C111">
        <f>IF($A111="", "", 'Hareket Girişi'!C113)</f>
        <v/>
      </c>
      <c r="D111" s="27">
        <f>IF($A111="", "", 'Hareket Girişi'!D113)</f>
        <v/>
      </c>
      <c r="E111" s="27">
        <f>IF($A111="", "", 'Hareket Girişi'!E113)</f>
        <v/>
      </c>
      <c r="F111" s="27">
        <f>IF($A111="", "", D111-E111)</f>
        <v/>
      </c>
    </row>
    <row r="112">
      <c r="A112" s="11">
        <f>IF('Hareket Girişi'!F114=3,'Hareket Girişi'!A114,"")</f>
        <v/>
      </c>
      <c r="B112">
        <f>IF($A112="", "", 'Hareket Girişi'!B114)</f>
        <v/>
      </c>
      <c r="C112">
        <f>IF($A112="", "", 'Hareket Girişi'!C114)</f>
        <v/>
      </c>
      <c r="D112" s="27">
        <f>IF($A112="", "", 'Hareket Girişi'!D114)</f>
        <v/>
      </c>
      <c r="E112" s="27">
        <f>IF($A112="", "", 'Hareket Girişi'!E114)</f>
        <v/>
      </c>
      <c r="F112" s="27">
        <f>IF($A112="", "", D112-E112)</f>
        <v/>
      </c>
    </row>
    <row r="113">
      <c r="A113" s="11">
        <f>IF('Hareket Girişi'!F115=3,'Hareket Girişi'!A115,"")</f>
        <v/>
      </c>
      <c r="B113">
        <f>IF($A113="", "", 'Hareket Girişi'!B115)</f>
        <v/>
      </c>
      <c r="C113">
        <f>IF($A113="", "", 'Hareket Girişi'!C115)</f>
        <v/>
      </c>
      <c r="D113" s="27">
        <f>IF($A113="", "", 'Hareket Girişi'!D115)</f>
        <v/>
      </c>
      <c r="E113" s="27">
        <f>IF($A113="", "", 'Hareket Girişi'!E115)</f>
        <v/>
      </c>
      <c r="F113" s="27">
        <f>IF($A113="", "", D113-E113)</f>
        <v/>
      </c>
    </row>
    <row r="114">
      <c r="A114" s="11">
        <f>IF('Hareket Girişi'!F116=3,'Hareket Girişi'!A116,"")</f>
        <v/>
      </c>
      <c r="B114">
        <f>IF($A114="", "", 'Hareket Girişi'!B116)</f>
        <v/>
      </c>
      <c r="C114">
        <f>IF($A114="", "", 'Hareket Girişi'!C116)</f>
        <v/>
      </c>
      <c r="D114" s="27">
        <f>IF($A114="", "", 'Hareket Girişi'!D116)</f>
        <v/>
      </c>
      <c r="E114" s="27">
        <f>IF($A114="", "", 'Hareket Girişi'!E116)</f>
        <v/>
      </c>
      <c r="F114" s="27">
        <f>IF($A114="", "", D114-E114)</f>
        <v/>
      </c>
    </row>
    <row r="115">
      <c r="A115" s="11">
        <f>IF('Hareket Girişi'!F117=3,'Hareket Girişi'!A117,"")</f>
        <v/>
      </c>
      <c r="B115">
        <f>IF($A115="", "", 'Hareket Girişi'!B117)</f>
        <v/>
      </c>
      <c r="C115">
        <f>IF($A115="", "", 'Hareket Girişi'!C117)</f>
        <v/>
      </c>
      <c r="D115" s="27">
        <f>IF($A115="", "", 'Hareket Girişi'!D117)</f>
        <v/>
      </c>
      <c r="E115" s="27">
        <f>IF($A115="", "", 'Hareket Girişi'!E117)</f>
        <v/>
      </c>
      <c r="F115" s="27">
        <f>IF($A115="", "", D115-E115)</f>
        <v/>
      </c>
    </row>
    <row r="116">
      <c r="A116" s="11">
        <f>IF('Hareket Girişi'!F118=3,'Hareket Girişi'!A118,"")</f>
        <v/>
      </c>
      <c r="B116">
        <f>IF($A116="", "", 'Hareket Girişi'!B118)</f>
        <v/>
      </c>
      <c r="C116">
        <f>IF($A116="", "", 'Hareket Girişi'!C118)</f>
        <v/>
      </c>
      <c r="D116" s="27">
        <f>IF($A116="", "", 'Hareket Girişi'!D118)</f>
        <v/>
      </c>
      <c r="E116" s="27">
        <f>IF($A116="", "", 'Hareket Girişi'!E118)</f>
        <v/>
      </c>
      <c r="F116" s="27">
        <f>IF($A116="", "", D116-E116)</f>
        <v/>
      </c>
    </row>
    <row r="117">
      <c r="A117" s="11">
        <f>IF('Hareket Girişi'!F119=3,'Hareket Girişi'!A119,"")</f>
        <v/>
      </c>
      <c r="B117">
        <f>IF($A117="", "", 'Hareket Girişi'!B119)</f>
        <v/>
      </c>
      <c r="C117">
        <f>IF($A117="", "", 'Hareket Girişi'!C119)</f>
        <v/>
      </c>
      <c r="D117" s="27">
        <f>IF($A117="", "", 'Hareket Girişi'!D119)</f>
        <v/>
      </c>
      <c r="E117" s="27">
        <f>IF($A117="", "", 'Hareket Girişi'!E119)</f>
        <v/>
      </c>
      <c r="F117" s="27">
        <f>IF($A117="", "", D117-E117)</f>
        <v/>
      </c>
    </row>
    <row r="118">
      <c r="A118" s="11">
        <f>IF('Hareket Girişi'!F120=3,'Hareket Girişi'!A120,"")</f>
        <v/>
      </c>
      <c r="B118">
        <f>IF($A118="", "", 'Hareket Girişi'!B120)</f>
        <v/>
      </c>
      <c r="C118">
        <f>IF($A118="", "", 'Hareket Girişi'!C120)</f>
        <v/>
      </c>
      <c r="D118" s="27">
        <f>IF($A118="", "", 'Hareket Girişi'!D120)</f>
        <v/>
      </c>
      <c r="E118" s="27">
        <f>IF($A118="", "", 'Hareket Girişi'!E120)</f>
        <v/>
      </c>
      <c r="F118" s="27">
        <f>IF($A118="", "", D118-E118)</f>
        <v/>
      </c>
    </row>
    <row r="119">
      <c r="A119" s="11">
        <f>IF('Hareket Girişi'!F121=3,'Hareket Girişi'!A121,"")</f>
        <v/>
      </c>
      <c r="B119">
        <f>IF($A119="", "", 'Hareket Girişi'!B121)</f>
        <v/>
      </c>
      <c r="C119">
        <f>IF($A119="", "", 'Hareket Girişi'!C121)</f>
        <v/>
      </c>
      <c r="D119" s="27">
        <f>IF($A119="", "", 'Hareket Girişi'!D121)</f>
        <v/>
      </c>
      <c r="E119" s="27">
        <f>IF($A119="", "", 'Hareket Girişi'!E121)</f>
        <v/>
      </c>
      <c r="F119" s="27">
        <f>IF($A119="", "", D119-E119)</f>
        <v/>
      </c>
    </row>
    <row r="120">
      <c r="A120" s="11">
        <f>IF('Hareket Girişi'!F122=3,'Hareket Girişi'!A122,"")</f>
        <v/>
      </c>
      <c r="B120">
        <f>IF($A120="", "", 'Hareket Girişi'!B122)</f>
        <v/>
      </c>
      <c r="C120">
        <f>IF($A120="", "", 'Hareket Girişi'!C122)</f>
        <v/>
      </c>
      <c r="D120" s="27">
        <f>IF($A120="", "", 'Hareket Girişi'!D122)</f>
        <v/>
      </c>
      <c r="E120" s="27">
        <f>IF($A120="", "", 'Hareket Girişi'!E122)</f>
        <v/>
      </c>
      <c r="F120" s="27">
        <f>IF($A120="", "", D120-E120)</f>
        <v/>
      </c>
    </row>
    <row r="121">
      <c r="A121" s="11">
        <f>IF('Hareket Girişi'!F123=3,'Hareket Girişi'!A123,"")</f>
        <v/>
      </c>
      <c r="B121">
        <f>IF($A121="", "", 'Hareket Girişi'!B123)</f>
        <v/>
      </c>
      <c r="C121">
        <f>IF($A121="", "", 'Hareket Girişi'!C123)</f>
        <v/>
      </c>
      <c r="D121" s="27">
        <f>IF($A121="", "", 'Hareket Girişi'!D123)</f>
        <v/>
      </c>
      <c r="E121" s="27">
        <f>IF($A121="", "", 'Hareket Girişi'!E123)</f>
        <v/>
      </c>
      <c r="F121" s="27">
        <f>IF($A121="", "", D121-E121)</f>
        <v/>
      </c>
    </row>
    <row r="122">
      <c r="A122" s="11">
        <f>IF('Hareket Girişi'!F124=3,'Hareket Girişi'!A124,"")</f>
        <v/>
      </c>
      <c r="B122">
        <f>IF($A122="", "", 'Hareket Girişi'!B124)</f>
        <v/>
      </c>
      <c r="C122">
        <f>IF($A122="", "", 'Hareket Girişi'!C124)</f>
        <v/>
      </c>
      <c r="D122" s="27">
        <f>IF($A122="", "", 'Hareket Girişi'!D124)</f>
        <v/>
      </c>
      <c r="E122" s="27">
        <f>IF($A122="", "", 'Hareket Girişi'!E124)</f>
        <v/>
      </c>
      <c r="F122" s="27">
        <f>IF($A122="", "", D122-E122)</f>
        <v/>
      </c>
    </row>
    <row r="123">
      <c r="A123" s="11">
        <f>IF('Hareket Girişi'!F125=3,'Hareket Girişi'!A125,"")</f>
        <v/>
      </c>
      <c r="B123">
        <f>IF($A123="", "", 'Hareket Girişi'!B125)</f>
        <v/>
      </c>
      <c r="C123">
        <f>IF($A123="", "", 'Hareket Girişi'!C125)</f>
        <v/>
      </c>
      <c r="D123" s="27">
        <f>IF($A123="", "", 'Hareket Girişi'!D125)</f>
        <v/>
      </c>
      <c r="E123" s="27">
        <f>IF($A123="", "", 'Hareket Girişi'!E125)</f>
        <v/>
      </c>
      <c r="F123" s="27">
        <f>IF($A123="", "", D123-E123)</f>
        <v/>
      </c>
    </row>
    <row r="124">
      <c r="A124" s="11">
        <f>IF('Hareket Girişi'!F126=3,'Hareket Girişi'!A126,"")</f>
        <v/>
      </c>
      <c r="B124">
        <f>IF($A124="", "", 'Hareket Girişi'!B126)</f>
        <v/>
      </c>
      <c r="C124">
        <f>IF($A124="", "", 'Hareket Girişi'!C126)</f>
        <v/>
      </c>
      <c r="D124" s="27">
        <f>IF($A124="", "", 'Hareket Girişi'!D126)</f>
        <v/>
      </c>
      <c r="E124" s="27">
        <f>IF($A124="", "", 'Hareket Girişi'!E126)</f>
        <v/>
      </c>
      <c r="F124" s="27">
        <f>IF($A124="", "", D124-E124)</f>
        <v/>
      </c>
    </row>
    <row r="125">
      <c r="A125" s="11">
        <f>IF('Hareket Girişi'!F127=3,'Hareket Girişi'!A127,"")</f>
        <v/>
      </c>
      <c r="B125">
        <f>IF($A125="", "", 'Hareket Girişi'!B127)</f>
        <v/>
      </c>
      <c r="C125">
        <f>IF($A125="", "", 'Hareket Girişi'!C127)</f>
        <v/>
      </c>
      <c r="D125" s="27">
        <f>IF($A125="", "", 'Hareket Girişi'!D127)</f>
        <v/>
      </c>
      <c r="E125" s="27">
        <f>IF($A125="", "", 'Hareket Girişi'!E127)</f>
        <v/>
      </c>
      <c r="F125" s="27">
        <f>IF($A125="", "", D125-E125)</f>
        <v/>
      </c>
    </row>
    <row r="126">
      <c r="A126" s="11">
        <f>IF('Hareket Girişi'!F128=3,'Hareket Girişi'!A128,"")</f>
        <v/>
      </c>
      <c r="B126">
        <f>IF($A126="", "", 'Hareket Girişi'!B128)</f>
        <v/>
      </c>
      <c r="C126">
        <f>IF($A126="", "", 'Hareket Girişi'!C128)</f>
        <v/>
      </c>
      <c r="D126" s="27">
        <f>IF($A126="", "", 'Hareket Girişi'!D128)</f>
        <v/>
      </c>
      <c r="E126" s="27">
        <f>IF($A126="", "", 'Hareket Girişi'!E128)</f>
        <v/>
      </c>
      <c r="F126" s="27">
        <f>IF($A126="", "", D126-E126)</f>
        <v/>
      </c>
    </row>
    <row r="127">
      <c r="A127" s="11">
        <f>IF('Hareket Girişi'!F129=3,'Hareket Girişi'!A129,"")</f>
        <v/>
      </c>
      <c r="B127">
        <f>IF($A127="", "", 'Hareket Girişi'!B129)</f>
        <v/>
      </c>
      <c r="C127">
        <f>IF($A127="", "", 'Hareket Girişi'!C129)</f>
        <v/>
      </c>
      <c r="D127" s="27">
        <f>IF($A127="", "", 'Hareket Girişi'!D129)</f>
        <v/>
      </c>
      <c r="E127" s="27">
        <f>IF($A127="", "", 'Hareket Girişi'!E129)</f>
        <v/>
      </c>
      <c r="F127" s="27">
        <f>IF($A127="", "", D127-E127)</f>
        <v/>
      </c>
    </row>
    <row r="128">
      <c r="A128" s="11">
        <f>IF('Hareket Girişi'!F130=3,'Hareket Girişi'!A130,"")</f>
        <v/>
      </c>
      <c r="B128">
        <f>IF($A128="", "", 'Hareket Girişi'!B130)</f>
        <v/>
      </c>
      <c r="C128">
        <f>IF($A128="", "", 'Hareket Girişi'!C130)</f>
        <v/>
      </c>
      <c r="D128" s="27">
        <f>IF($A128="", "", 'Hareket Girişi'!D130)</f>
        <v/>
      </c>
      <c r="E128" s="27">
        <f>IF($A128="", "", 'Hareket Girişi'!E130)</f>
        <v/>
      </c>
      <c r="F128" s="27">
        <f>IF($A128="", "", D128-E128)</f>
        <v/>
      </c>
    </row>
    <row r="129">
      <c r="A129" s="11">
        <f>IF('Hareket Girişi'!F131=3,'Hareket Girişi'!A131,"")</f>
        <v/>
      </c>
      <c r="B129">
        <f>IF($A129="", "", 'Hareket Girişi'!B131)</f>
        <v/>
      </c>
      <c r="C129">
        <f>IF($A129="", "", 'Hareket Girişi'!C131)</f>
        <v/>
      </c>
      <c r="D129" s="27">
        <f>IF($A129="", "", 'Hareket Girişi'!D131)</f>
        <v/>
      </c>
      <c r="E129" s="27">
        <f>IF($A129="", "", 'Hareket Girişi'!E131)</f>
        <v/>
      </c>
      <c r="F129" s="27">
        <f>IF($A129="", "", D129-E129)</f>
        <v/>
      </c>
    </row>
    <row r="130">
      <c r="A130" s="11">
        <f>IF('Hareket Girişi'!F132=3,'Hareket Girişi'!A132,"")</f>
        <v/>
      </c>
      <c r="B130">
        <f>IF($A130="", "", 'Hareket Girişi'!B132)</f>
        <v/>
      </c>
      <c r="C130">
        <f>IF($A130="", "", 'Hareket Girişi'!C132)</f>
        <v/>
      </c>
      <c r="D130" s="27">
        <f>IF($A130="", "", 'Hareket Girişi'!D132)</f>
        <v/>
      </c>
      <c r="E130" s="27">
        <f>IF($A130="", "", 'Hareket Girişi'!E132)</f>
        <v/>
      </c>
      <c r="F130" s="27">
        <f>IF($A130="", "", D130-E130)</f>
        <v/>
      </c>
    </row>
    <row r="131">
      <c r="A131" s="11">
        <f>IF('Hareket Girişi'!F133=3,'Hareket Girişi'!A133,"")</f>
        <v/>
      </c>
      <c r="B131">
        <f>IF($A131="", "", 'Hareket Girişi'!B133)</f>
        <v/>
      </c>
      <c r="C131">
        <f>IF($A131="", "", 'Hareket Girişi'!C133)</f>
        <v/>
      </c>
      <c r="D131" s="27">
        <f>IF($A131="", "", 'Hareket Girişi'!D133)</f>
        <v/>
      </c>
      <c r="E131" s="27">
        <f>IF($A131="", "", 'Hareket Girişi'!E133)</f>
        <v/>
      </c>
      <c r="F131" s="27">
        <f>IF($A131="", "", D131-E131)</f>
        <v/>
      </c>
    </row>
    <row r="132">
      <c r="A132" s="11">
        <f>IF('Hareket Girişi'!F134=3,'Hareket Girişi'!A134,"")</f>
        <v/>
      </c>
      <c r="B132">
        <f>IF($A132="", "", 'Hareket Girişi'!B134)</f>
        <v/>
      </c>
      <c r="C132">
        <f>IF($A132="", "", 'Hareket Girişi'!C134)</f>
        <v/>
      </c>
      <c r="D132" s="27">
        <f>IF($A132="", "", 'Hareket Girişi'!D134)</f>
        <v/>
      </c>
      <c r="E132" s="27">
        <f>IF($A132="", "", 'Hareket Girişi'!E134)</f>
        <v/>
      </c>
      <c r="F132" s="27">
        <f>IF($A132="", "", D132-E132)</f>
        <v/>
      </c>
    </row>
    <row r="133">
      <c r="A133" s="11">
        <f>IF('Hareket Girişi'!F135=3,'Hareket Girişi'!A135,"")</f>
        <v/>
      </c>
      <c r="B133">
        <f>IF($A133="", "", 'Hareket Girişi'!B135)</f>
        <v/>
      </c>
      <c r="C133">
        <f>IF($A133="", "", 'Hareket Girişi'!C135)</f>
        <v/>
      </c>
      <c r="D133" s="27">
        <f>IF($A133="", "", 'Hareket Girişi'!D135)</f>
        <v/>
      </c>
      <c r="E133" s="27">
        <f>IF($A133="", "", 'Hareket Girişi'!E135)</f>
        <v/>
      </c>
      <c r="F133" s="27">
        <f>IF($A133="", "", D133-E133)</f>
        <v/>
      </c>
    </row>
    <row r="134">
      <c r="A134" s="11">
        <f>IF('Hareket Girişi'!F136=3,'Hareket Girişi'!A136,"")</f>
        <v/>
      </c>
      <c r="B134">
        <f>IF($A134="", "", 'Hareket Girişi'!B136)</f>
        <v/>
      </c>
      <c r="C134">
        <f>IF($A134="", "", 'Hareket Girişi'!C136)</f>
        <v/>
      </c>
      <c r="D134" s="27">
        <f>IF($A134="", "", 'Hareket Girişi'!D136)</f>
        <v/>
      </c>
      <c r="E134" s="27">
        <f>IF($A134="", "", 'Hareket Girişi'!E136)</f>
        <v/>
      </c>
      <c r="F134" s="27">
        <f>IF($A134="", "", D134-E134)</f>
        <v/>
      </c>
    </row>
    <row r="135">
      <c r="A135" s="11">
        <f>IF('Hareket Girişi'!F137=3,'Hareket Girişi'!A137,"")</f>
        <v/>
      </c>
      <c r="B135">
        <f>IF($A135="", "", 'Hareket Girişi'!B137)</f>
        <v/>
      </c>
      <c r="C135">
        <f>IF($A135="", "", 'Hareket Girişi'!C137)</f>
        <v/>
      </c>
      <c r="D135" s="27">
        <f>IF($A135="", "", 'Hareket Girişi'!D137)</f>
        <v/>
      </c>
      <c r="E135" s="27">
        <f>IF($A135="", "", 'Hareket Girişi'!E137)</f>
        <v/>
      </c>
      <c r="F135" s="27">
        <f>IF($A135="", "", D135-E135)</f>
        <v/>
      </c>
    </row>
    <row r="136">
      <c r="A136" s="11">
        <f>IF('Hareket Girişi'!F138=3,'Hareket Girişi'!A138,"")</f>
        <v/>
      </c>
      <c r="B136">
        <f>IF($A136="", "", 'Hareket Girişi'!B138)</f>
        <v/>
      </c>
      <c r="C136">
        <f>IF($A136="", "", 'Hareket Girişi'!C138)</f>
        <v/>
      </c>
      <c r="D136" s="27">
        <f>IF($A136="", "", 'Hareket Girişi'!D138)</f>
        <v/>
      </c>
      <c r="E136" s="27">
        <f>IF($A136="", "", 'Hareket Girişi'!E138)</f>
        <v/>
      </c>
      <c r="F136" s="27">
        <f>IF($A136="", "", D136-E136)</f>
        <v/>
      </c>
    </row>
    <row r="137">
      <c r="A137" s="11">
        <f>IF('Hareket Girişi'!F139=3,'Hareket Girişi'!A139,"")</f>
        <v/>
      </c>
      <c r="B137">
        <f>IF($A137="", "", 'Hareket Girişi'!B139)</f>
        <v/>
      </c>
      <c r="C137">
        <f>IF($A137="", "", 'Hareket Girişi'!C139)</f>
        <v/>
      </c>
      <c r="D137" s="27">
        <f>IF($A137="", "", 'Hareket Girişi'!D139)</f>
        <v/>
      </c>
      <c r="E137" s="27">
        <f>IF($A137="", "", 'Hareket Girişi'!E139)</f>
        <v/>
      </c>
      <c r="F137" s="27">
        <f>IF($A137="", "", D137-E137)</f>
        <v/>
      </c>
    </row>
    <row r="138">
      <c r="A138" s="11">
        <f>IF('Hareket Girişi'!F140=3,'Hareket Girişi'!A140,"")</f>
        <v/>
      </c>
      <c r="B138">
        <f>IF($A138="", "", 'Hareket Girişi'!B140)</f>
        <v/>
      </c>
      <c r="C138">
        <f>IF($A138="", "", 'Hareket Girişi'!C140)</f>
        <v/>
      </c>
      <c r="D138" s="27">
        <f>IF($A138="", "", 'Hareket Girişi'!D140)</f>
        <v/>
      </c>
      <c r="E138" s="27">
        <f>IF($A138="", "", 'Hareket Girişi'!E140)</f>
        <v/>
      </c>
      <c r="F138" s="27">
        <f>IF($A138="", "", D138-E138)</f>
        <v/>
      </c>
    </row>
    <row r="139">
      <c r="A139" s="11">
        <f>IF('Hareket Girişi'!F141=3,'Hareket Girişi'!A141,"")</f>
        <v/>
      </c>
      <c r="B139">
        <f>IF($A139="", "", 'Hareket Girişi'!B141)</f>
        <v/>
      </c>
      <c r="C139">
        <f>IF($A139="", "", 'Hareket Girişi'!C141)</f>
        <v/>
      </c>
      <c r="D139" s="27">
        <f>IF($A139="", "", 'Hareket Girişi'!D141)</f>
        <v/>
      </c>
      <c r="E139" s="27">
        <f>IF($A139="", "", 'Hareket Girişi'!E141)</f>
        <v/>
      </c>
      <c r="F139" s="27">
        <f>IF($A139="", "", D139-E139)</f>
        <v/>
      </c>
    </row>
    <row r="140">
      <c r="A140" s="11">
        <f>IF('Hareket Girişi'!F142=3,'Hareket Girişi'!A142,"")</f>
        <v/>
      </c>
      <c r="B140">
        <f>IF($A140="", "", 'Hareket Girişi'!B142)</f>
        <v/>
      </c>
      <c r="C140">
        <f>IF($A140="", "", 'Hareket Girişi'!C142)</f>
        <v/>
      </c>
      <c r="D140" s="27">
        <f>IF($A140="", "", 'Hareket Girişi'!D142)</f>
        <v/>
      </c>
      <c r="E140" s="27">
        <f>IF($A140="", "", 'Hareket Girişi'!E142)</f>
        <v/>
      </c>
      <c r="F140" s="27">
        <f>IF($A140="", "", D140-E140)</f>
        <v/>
      </c>
    </row>
    <row r="141">
      <c r="A141" s="11">
        <f>IF('Hareket Girişi'!F143=3,'Hareket Girişi'!A143,"")</f>
        <v/>
      </c>
      <c r="B141">
        <f>IF($A141="", "", 'Hareket Girişi'!B143)</f>
        <v/>
      </c>
      <c r="C141">
        <f>IF($A141="", "", 'Hareket Girişi'!C143)</f>
        <v/>
      </c>
      <c r="D141" s="27">
        <f>IF($A141="", "", 'Hareket Girişi'!D143)</f>
        <v/>
      </c>
      <c r="E141" s="27">
        <f>IF($A141="", "", 'Hareket Girişi'!E143)</f>
        <v/>
      </c>
      <c r="F141" s="27">
        <f>IF($A141="", "", D141-E141)</f>
        <v/>
      </c>
    </row>
    <row r="142">
      <c r="A142" s="11">
        <f>IF('Hareket Girişi'!F144=3,'Hareket Girişi'!A144,"")</f>
        <v/>
      </c>
      <c r="B142">
        <f>IF($A142="", "", 'Hareket Girişi'!B144)</f>
        <v/>
      </c>
      <c r="C142">
        <f>IF($A142="", "", 'Hareket Girişi'!C144)</f>
        <v/>
      </c>
      <c r="D142" s="27">
        <f>IF($A142="", "", 'Hareket Girişi'!D144)</f>
        <v/>
      </c>
      <c r="E142" s="27">
        <f>IF($A142="", "", 'Hareket Girişi'!E144)</f>
        <v/>
      </c>
      <c r="F142" s="27">
        <f>IF($A142="", "", D142-E142)</f>
        <v/>
      </c>
    </row>
    <row r="143">
      <c r="A143" s="11">
        <f>IF('Hareket Girişi'!F145=3,'Hareket Girişi'!A145,"")</f>
        <v/>
      </c>
      <c r="B143">
        <f>IF($A143="", "", 'Hareket Girişi'!B145)</f>
        <v/>
      </c>
      <c r="C143">
        <f>IF($A143="", "", 'Hareket Girişi'!C145)</f>
        <v/>
      </c>
      <c r="D143" s="27">
        <f>IF($A143="", "", 'Hareket Girişi'!D145)</f>
        <v/>
      </c>
      <c r="E143" s="27">
        <f>IF($A143="", "", 'Hareket Girişi'!E145)</f>
        <v/>
      </c>
      <c r="F143" s="27">
        <f>IF($A143="", "", D143-E143)</f>
        <v/>
      </c>
    </row>
    <row r="144">
      <c r="A144" s="11">
        <f>IF('Hareket Girişi'!F146=3,'Hareket Girişi'!A146,"")</f>
        <v/>
      </c>
      <c r="B144">
        <f>IF($A144="", "", 'Hareket Girişi'!B146)</f>
        <v/>
      </c>
      <c r="C144">
        <f>IF($A144="", "", 'Hareket Girişi'!C146)</f>
        <v/>
      </c>
      <c r="D144" s="27">
        <f>IF($A144="", "", 'Hareket Girişi'!D146)</f>
        <v/>
      </c>
      <c r="E144" s="27">
        <f>IF($A144="", "", 'Hareket Girişi'!E146)</f>
        <v/>
      </c>
      <c r="F144" s="27">
        <f>IF($A144="", "", D144-E144)</f>
        <v/>
      </c>
    </row>
    <row r="145">
      <c r="A145" s="11">
        <f>IF('Hareket Girişi'!F147=3,'Hareket Girişi'!A147,"")</f>
        <v/>
      </c>
      <c r="B145">
        <f>IF($A145="", "", 'Hareket Girişi'!B147)</f>
        <v/>
      </c>
      <c r="C145">
        <f>IF($A145="", "", 'Hareket Girişi'!C147)</f>
        <v/>
      </c>
      <c r="D145" s="27">
        <f>IF($A145="", "", 'Hareket Girişi'!D147)</f>
        <v/>
      </c>
      <c r="E145" s="27">
        <f>IF($A145="", "", 'Hareket Girişi'!E147)</f>
        <v/>
      </c>
      <c r="F145" s="27">
        <f>IF($A145="", "", D145-E145)</f>
        <v/>
      </c>
    </row>
    <row r="146">
      <c r="A146" s="11">
        <f>IF('Hareket Girişi'!F148=3,'Hareket Girişi'!A148,"")</f>
        <v/>
      </c>
      <c r="B146">
        <f>IF($A146="", "", 'Hareket Girişi'!B148)</f>
        <v/>
      </c>
      <c r="C146">
        <f>IF($A146="", "", 'Hareket Girişi'!C148)</f>
        <v/>
      </c>
      <c r="D146" s="27">
        <f>IF($A146="", "", 'Hareket Girişi'!D148)</f>
        <v/>
      </c>
      <c r="E146" s="27">
        <f>IF($A146="", "", 'Hareket Girişi'!E148)</f>
        <v/>
      </c>
      <c r="F146" s="27">
        <f>IF($A146="", "", D146-E146)</f>
        <v/>
      </c>
    </row>
    <row r="147">
      <c r="A147" s="11">
        <f>IF('Hareket Girişi'!F149=3,'Hareket Girişi'!A149,"")</f>
        <v/>
      </c>
      <c r="B147">
        <f>IF($A147="", "", 'Hareket Girişi'!B149)</f>
        <v/>
      </c>
      <c r="C147">
        <f>IF($A147="", "", 'Hareket Girişi'!C149)</f>
        <v/>
      </c>
      <c r="D147" s="27">
        <f>IF($A147="", "", 'Hareket Girişi'!D149)</f>
        <v/>
      </c>
      <c r="E147" s="27">
        <f>IF($A147="", "", 'Hareket Girişi'!E149)</f>
        <v/>
      </c>
      <c r="F147" s="27">
        <f>IF($A147="", "", D147-E147)</f>
        <v/>
      </c>
    </row>
    <row r="148">
      <c r="A148" s="11">
        <f>IF('Hareket Girişi'!F150=3,'Hareket Girişi'!A150,"")</f>
        <v/>
      </c>
      <c r="B148">
        <f>IF($A148="", "", 'Hareket Girişi'!B150)</f>
        <v/>
      </c>
      <c r="C148">
        <f>IF($A148="", "", 'Hareket Girişi'!C150)</f>
        <v/>
      </c>
      <c r="D148" s="27">
        <f>IF($A148="", "", 'Hareket Girişi'!D150)</f>
        <v/>
      </c>
      <c r="E148" s="27">
        <f>IF($A148="", "", 'Hareket Girişi'!E150)</f>
        <v/>
      </c>
      <c r="F148" s="27">
        <f>IF($A148="", "", D148-E148)</f>
        <v/>
      </c>
    </row>
    <row r="149">
      <c r="A149" s="11">
        <f>IF('Hareket Girişi'!F151=3,'Hareket Girişi'!A151,"")</f>
        <v/>
      </c>
      <c r="B149">
        <f>IF($A149="", "", 'Hareket Girişi'!B151)</f>
        <v/>
      </c>
      <c r="C149">
        <f>IF($A149="", "", 'Hareket Girişi'!C151)</f>
        <v/>
      </c>
      <c r="D149" s="27">
        <f>IF($A149="", "", 'Hareket Girişi'!D151)</f>
        <v/>
      </c>
      <c r="E149" s="27">
        <f>IF($A149="", "", 'Hareket Girişi'!E151)</f>
        <v/>
      </c>
      <c r="F149" s="27">
        <f>IF($A149="", "", D149-E149)</f>
        <v/>
      </c>
    </row>
    <row r="150">
      <c r="A150" s="11">
        <f>IF('Hareket Girişi'!F152=3,'Hareket Girişi'!A152,"")</f>
        <v/>
      </c>
      <c r="B150">
        <f>IF($A150="", "", 'Hareket Girişi'!B152)</f>
        <v/>
      </c>
      <c r="C150">
        <f>IF($A150="", "", 'Hareket Girişi'!C152)</f>
        <v/>
      </c>
      <c r="D150" s="27">
        <f>IF($A150="", "", 'Hareket Girişi'!D152)</f>
        <v/>
      </c>
      <c r="E150" s="27">
        <f>IF($A150="", "", 'Hareket Girişi'!E152)</f>
        <v/>
      </c>
      <c r="F150" s="27">
        <f>IF($A150="", "", D150-E150)</f>
        <v/>
      </c>
    </row>
    <row r="151">
      <c r="A151" s="11">
        <f>IF('Hareket Girişi'!F153=3,'Hareket Girişi'!A153,"")</f>
        <v/>
      </c>
      <c r="B151">
        <f>IF($A151="", "", 'Hareket Girişi'!B153)</f>
        <v/>
      </c>
      <c r="C151">
        <f>IF($A151="", "", 'Hareket Girişi'!C153)</f>
        <v/>
      </c>
      <c r="D151" s="27">
        <f>IF($A151="", "", 'Hareket Girişi'!D153)</f>
        <v/>
      </c>
      <c r="E151" s="27">
        <f>IF($A151="", "", 'Hareket Girişi'!E153)</f>
        <v/>
      </c>
      <c r="F151" s="27">
        <f>IF($A151="", "", D151-E151)</f>
        <v/>
      </c>
    </row>
    <row r="152">
      <c r="A152" s="11">
        <f>IF('Hareket Girişi'!F154=3,'Hareket Girişi'!A154,"")</f>
        <v/>
      </c>
      <c r="B152">
        <f>IF($A152="", "", 'Hareket Girişi'!B154)</f>
        <v/>
      </c>
      <c r="C152">
        <f>IF($A152="", "", 'Hareket Girişi'!C154)</f>
        <v/>
      </c>
      <c r="D152" s="27">
        <f>IF($A152="", "", 'Hareket Girişi'!D154)</f>
        <v/>
      </c>
      <c r="E152" s="27">
        <f>IF($A152="", "", 'Hareket Girişi'!E154)</f>
        <v/>
      </c>
      <c r="F152" s="27">
        <f>IF($A152="", "", D152-E152)</f>
        <v/>
      </c>
    </row>
    <row r="153">
      <c r="A153" s="11">
        <f>IF('Hareket Girişi'!F155=3,'Hareket Girişi'!A155,"")</f>
        <v/>
      </c>
      <c r="B153">
        <f>IF($A153="", "", 'Hareket Girişi'!B155)</f>
        <v/>
      </c>
      <c r="C153">
        <f>IF($A153="", "", 'Hareket Girişi'!C155)</f>
        <v/>
      </c>
      <c r="D153" s="27">
        <f>IF($A153="", "", 'Hareket Girişi'!D155)</f>
        <v/>
      </c>
      <c r="E153" s="27">
        <f>IF($A153="", "", 'Hareket Girişi'!E155)</f>
        <v/>
      </c>
      <c r="F153" s="27">
        <f>IF($A153="", "", D153-E153)</f>
        <v/>
      </c>
    </row>
    <row r="154">
      <c r="A154" s="11">
        <f>IF('Hareket Girişi'!F156=3,'Hareket Girişi'!A156,"")</f>
        <v/>
      </c>
      <c r="B154">
        <f>IF($A154="", "", 'Hareket Girişi'!B156)</f>
        <v/>
      </c>
      <c r="C154">
        <f>IF($A154="", "", 'Hareket Girişi'!C156)</f>
        <v/>
      </c>
      <c r="D154" s="27">
        <f>IF($A154="", "", 'Hareket Girişi'!D156)</f>
        <v/>
      </c>
      <c r="E154" s="27">
        <f>IF($A154="", "", 'Hareket Girişi'!E156)</f>
        <v/>
      </c>
      <c r="F154" s="27">
        <f>IF($A154="", "", D154-E154)</f>
        <v/>
      </c>
    </row>
    <row r="155">
      <c r="A155" s="11">
        <f>IF('Hareket Girişi'!F157=3,'Hareket Girişi'!A157,"")</f>
        <v/>
      </c>
      <c r="B155">
        <f>IF($A155="", "", 'Hareket Girişi'!B157)</f>
        <v/>
      </c>
      <c r="C155">
        <f>IF($A155="", "", 'Hareket Girişi'!C157)</f>
        <v/>
      </c>
      <c r="D155" s="27">
        <f>IF($A155="", "", 'Hareket Girişi'!D157)</f>
        <v/>
      </c>
      <c r="E155" s="27">
        <f>IF($A155="", "", 'Hareket Girişi'!E157)</f>
        <v/>
      </c>
      <c r="F155" s="27">
        <f>IF($A155="", "", D155-E155)</f>
        <v/>
      </c>
    </row>
    <row r="156">
      <c r="A156" s="11">
        <f>IF('Hareket Girişi'!F158=3,'Hareket Girişi'!A158,"")</f>
        <v/>
      </c>
      <c r="B156">
        <f>IF($A156="", "", 'Hareket Girişi'!B158)</f>
        <v/>
      </c>
      <c r="C156">
        <f>IF($A156="", "", 'Hareket Girişi'!C158)</f>
        <v/>
      </c>
      <c r="D156" s="27">
        <f>IF($A156="", "", 'Hareket Girişi'!D158)</f>
        <v/>
      </c>
      <c r="E156" s="27">
        <f>IF($A156="", "", 'Hareket Girişi'!E158)</f>
        <v/>
      </c>
      <c r="F156" s="27">
        <f>IF($A156="", "", D156-E156)</f>
        <v/>
      </c>
    </row>
    <row r="157">
      <c r="A157" s="11">
        <f>IF('Hareket Girişi'!F159=3,'Hareket Girişi'!A159,"")</f>
        <v/>
      </c>
      <c r="B157">
        <f>IF($A157="", "", 'Hareket Girişi'!B159)</f>
        <v/>
      </c>
      <c r="C157">
        <f>IF($A157="", "", 'Hareket Girişi'!C159)</f>
        <v/>
      </c>
      <c r="D157" s="27">
        <f>IF($A157="", "", 'Hareket Girişi'!D159)</f>
        <v/>
      </c>
      <c r="E157" s="27">
        <f>IF($A157="", "", 'Hareket Girişi'!E159)</f>
        <v/>
      </c>
      <c r="F157" s="27">
        <f>IF($A157="", "", D157-E157)</f>
        <v/>
      </c>
    </row>
    <row r="158">
      <c r="A158" s="11">
        <f>IF('Hareket Girişi'!F160=3,'Hareket Girişi'!A160,"")</f>
        <v/>
      </c>
      <c r="B158">
        <f>IF($A158="", "", 'Hareket Girişi'!B160)</f>
        <v/>
      </c>
      <c r="C158">
        <f>IF($A158="", "", 'Hareket Girişi'!C160)</f>
        <v/>
      </c>
      <c r="D158" s="27">
        <f>IF($A158="", "", 'Hareket Girişi'!D160)</f>
        <v/>
      </c>
      <c r="E158" s="27">
        <f>IF($A158="", "", 'Hareket Girişi'!E160)</f>
        <v/>
      </c>
      <c r="F158" s="27">
        <f>IF($A158="", "", D158-E158)</f>
        <v/>
      </c>
    </row>
    <row r="159">
      <c r="A159" s="11">
        <f>IF('Hareket Girişi'!F161=3,'Hareket Girişi'!A161,"")</f>
        <v/>
      </c>
      <c r="B159">
        <f>IF($A159="", "", 'Hareket Girişi'!B161)</f>
        <v/>
      </c>
      <c r="C159">
        <f>IF($A159="", "", 'Hareket Girişi'!C161)</f>
        <v/>
      </c>
      <c r="D159" s="27">
        <f>IF($A159="", "", 'Hareket Girişi'!D161)</f>
        <v/>
      </c>
      <c r="E159" s="27">
        <f>IF($A159="", "", 'Hareket Girişi'!E161)</f>
        <v/>
      </c>
      <c r="F159" s="27">
        <f>IF($A159="", "", D159-E159)</f>
        <v/>
      </c>
    </row>
    <row r="160">
      <c r="A160" s="11">
        <f>IF('Hareket Girişi'!F162=3,'Hareket Girişi'!A162,"")</f>
        <v/>
      </c>
      <c r="B160">
        <f>IF($A160="", "", 'Hareket Girişi'!B162)</f>
        <v/>
      </c>
      <c r="C160">
        <f>IF($A160="", "", 'Hareket Girişi'!C162)</f>
        <v/>
      </c>
      <c r="D160" s="27">
        <f>IF($A160="", "", 'Hareket Girişi'!D162)</f>
        <v/>
      </c>
      <c r="E160" s="27">
        <f>IF($A160="", "", 'Hareket Girişi'!E162)</f>
        <v/>
      </c>
      <c r="F160" s="27">
        <f>IF($A160="", "", D160-E160)</f>
        <v/>
      </c>
    </row>
    <row r="161">
      <c r="A161" s="11">
        <f>IF('Hareket Girişi'!F163=3,'Hareket Girişi'!A163,"")</f>
        <v/>
      </c>
      <c r="B161">
        <f>IF($A161="", "", 'Hareket Girişi'!B163)</f>
        <v/>
      </c>
      <c r="C161">
        <f>IF($A161="", "", 'Hareket Girişi'!C163)</f>
        <v/>
      </c>
      <c r="D161" s="27">
        <f>IF($A161="", "", 'Hareket Girişi'!D163)</f>
        <v/>
      </c>
      <c r="E161" s="27">
        <f>IF($A161="", "", 'Hareket Girişi'!E163)</f>
        <v/>
      </c>
      <c r="F161" s="27">
        <f>IF($A161="", "", D161-E161)</f>
        <v/>
      </c>
    </row>
    <row r="162">
      <c r="A162" s="11">
        <f>IF('Hareket Girişi'!F164=3,'Hareket Girişi'!A164,"")</f>
        <v/>
      </c>
      <c r="B162">
        <f>IF($A162="", "", 'Hareket Girişi'!B164)</f>
        <v/>
      </c>
      <c r="C162">
        <f>IF($A162="", "", 'Hareket Girişi'!C164)</f>
        <v/>
      </c>
      <c r="D162" s="27">
        <f>IF($A162="", "", 'Hareket Girişi'!D164)</f>
        <v/>
      </c>
      <c r="E162" s="27">
        <f>IF($A162="", "", 'Hareket Girişi'!E164)</f>
        <v/>
      </c>
      <c r="F162" s="27">
        <f>IF($A162="", "", D162-E162)</f>
        <v/>
      </c>
    </row>
    <row r="163">
      <c r="A163" s="11">
        <f>IF('Hareket Girişi'!F165=3,'Hareket Girişi'!A165,"")</f>
        <v/>
      </c>
      <c r="B163">
        <f>IF($A163="", "", 'Hareket Girişi'!B165)</f>
        <v/>
      </c>
      <c r="C163">
        <f>IF($A163="", "", 'Hareket Girişi'!C165)</f>
        <v/>
      </c>
      <c r="D163" s="27">
        <f>IF($A163="", "", 'Hareket Girişi'!D165)</f>
        <v/>
      </c>
      <c r="E163" s="27">
        <f>IF($A163="", "", 'Hareket Girişi'!E165)</f>
        <v/>
      </c>
      <c r="F163" s="27">
        <f>IF($A163="", "", D163-E163)</f>
        <v/>
      </c>
    </row>
    <row r="164">
      <c r="A164" s="11">
        <f>IF('Hareket Girişi'!F166=3,'Hareket Girişi'!A166,"")</f>
        <v/>
      </c>
      <c r="B164">
        <f>IF($A164="", "", 'Hareket Girişi'!B166)</f>
        <v/>
      </c>
      <c r="C164">
        <f>IF($A164="", "", 'Hareket Girişi'!C166)</f>
        <v/>
      </c>
      <c r="D164" s="27">
        <f>IF($A164="", "", 'Hareket Girişi'!D166)</f>
        <v/>
      </c>
      <c r="E164" s="27">
        <f>IF($A164="", "", 'Hareket Girişi'!E166)</f>
        <v/>
      </c>
      <c r="F164" s="27">
        <f>IF($A164="", "", D164-E164)</f>
        <v/>
      </c>
    </row>
    <row r="165">
      <c r="A165" s="11">
        <f>IF('Hareket Girişi'!F167=3,'Hareket Girişi'!A167,"")</f>
        <v/>
      </c>
      <c r="B165">
        <f>IF($A165="", "", 'Hareket Girişi'!B167)</f>
        <v/>
      </c>
      <c r="C165">
        <f>IF($A165="", "", 'Hareket Girişi'!C167)</f>
        <v/>
      </c>
      <c r="D165" s="27">
        <f>IF($A165="", "", 'Hareket Girişi'!D167)</f>
        <v/>
      </c>
      <c r="E165" s="27">
        <f>IF($A165="", "", 'Hareket Girişi'!E167)</f>
        <v/>
      </c>
      <c r="F165" s="27">
        <f>IF($A165="", "", D165-E165)</f>
        <v/>
      </c>
    </row>
    <row r="166">
      <c r="A166" s="11">
        <f>IF('Hareket Girişi'!F168=3,'Hareket Girişi'!A168,"")</f>
        <v/>
      </c>
      <c r="B166">
        <f>IF($A166="", "", 'Hareket Girişi'!B168)</f>
        <v/>
      </c>
      <c r="C166">
        <f>IF($A166="", "", 'Hareket Girişi'!C168)</f>
        <v/>
      </c>
      <c r="D166" s="27">
        <f>IF($A166="", "", 'Hareket Girişi'!D168)</f>
        <v/>
      </c>
      <c r="E166" s="27">
        <f>IF($A166="", "", 'Hareket Girişi'!E168)</f>
        <v/>
      </c>
      <c r="F166" s="27">
        <f>IF($A166="", "", D166-E166)</f>
        <v/>
      </c>
    </row>
    <row r="167">
      <c r="A167" s="11">
        <f>IF('Hareket Girişi'!F169=3,'Hareket Girişi'!A169,"")</f>
        <v/>
      </c>
      <c r="B167">
        <f>IF($A167="", "", 'Hareket Girişi'!B169)</f>
        <v/>
      </c>
      <c r="C167">
        <f>IF($A167="", "", 'Hareket Girişi'!C169)</f>
        <v/>
      </c>
      <c r="D167" s="27">
        <f>IF($A167="", "", 'Hareket Girişi'!D169)</f>
        <v/>
      </c>
      <c r="E167" s="27">
        <f>IF($A167="", "", 'Hareket Girişi'!E169)</f>
        <v/>
      </c>
      <c r="F167" s="27">
        <f>IF($A167="", "", D167-E167)</f>
        <v/>
      </c>
    </row>
    <row r="168">
      <c r="A168" s="11">
        <f>IF('Hareket Girişi'!F170=3,'Hareket Girişi'!A170,"")</f>
        <v/>
      </c>
      <c r="B168">
        <f>IF($A168="", "", 'Hareket Girişi'!B170)</f>
        <v/>
      </c>
      <c r="C168">
        <f>IF($A168="", "", 'Hareket Girişi'!C170)</f>
        <v/>
      </c>
      <c r="D168" s="27">
        <f>IF($A168="", "", 'Hareket Girişi'!D170)</f>
        <v/>
      </c>
      <c r="E168" s="27">
        <f>IF($A168="", "", 'Hareket Girişi'!E170)</f>
        <v/>
      </c>
      <c r="F168" s="27">
        <f>IF($A168="", "", D168-E168)</f>
        <v/>
      </c>
    </row>
    <row r="169">
      <c r="A169" s="11">
        <f>IF('Hareket Girişi'!F171=3,'Hareket Girişi'!A171,"")</f>
        <v/>
      </c>
      <c r="B169">
        <f>IF($A169="", "", 'Hareket Girişi'!B171)</f>
        <v/>
      </c>
      <c r="C169">
        <f>IF($A169="", "", 'Hareket Girişi'!C171)</f>
        <v/>
      </c>
      <c r="D169" s="27">
        <f>IF($A169="", "", 'Hareket Girişi'!D171)</f>
        <v/>
      </c>
      <c r="E169" s="27">
        <f>IF($A169="", "", 'Hareket Girişi'!E171)</f>
        <v/>
      </c>
      <c r="F169" s="27">
        <f>IF($A169="", "", D169-E169)</f>
        <v/>
      </c>
    </row>
    <row r="170">
      <c r="A170" s="11">
        <f>IF('Hareket Girişi'!F172=3,'Hareket Girişi'!A172,"")</f>
        <v/>
      </c>
      <c r="B170">
        <f>IF($A170="", "", 'Hareket Girişi'!B172)</f>
        <v/>
      </c>
      <c r="C170">
        <f>IF($A170="", "", 'Hareket Girişi'!C172)</f>
        <v/>
      </c>
      <c r="D170" s="27">
        <f>IF($A170="", "", 'Hareket Girişi'!D172)</f>
        <v/>
      </c>
      <c r="E170" s="27">
        <f>IF($A170="", "", 'Hareket Girişi'!E172)</f>
        <v/>
      </c>
      <c r="F170" s="27">
        <f>IF($A170="", "", D170-E170)</f>
        <v/>
      </c>
    </row>
    <row r="171">
      <c r="A171" s="11">
        <f>IF('Hareket Girişi'!F173=3,'Hareket Girişi'!A173,"")</f>
        <v/>
      </c>
      <c r="B171">
        <f>IF($A171="", "", 'Hareket Girişi'!B173)</f>
        <v/>
      </c>
      <c r="C171">
        <f>IF($A171="", "", 'Hareket Girişi'!C173)</f>
        <v/>
      </c>
      <c r="D171" s="27">
        <f>IF($A171="", "", 'Hareket Girişi'!D173)</f>
        <v/>
      </c>
      <c r="E171" s="27">
        <f>IF($A171="", "", 'Hareket Girişi'!E173)</f>
        <v/>
      </c>
      <c r="F171" s="27">
        <f>IF($A171="", "", D171-E171)</f>
        <v/>
      </c>
    </row>
    <row r="172">
      <c r="A172" s="11">
        <f>IF('Hareket Girişi'!F174=3,'Hareket Girişi'!A174,"")</f>
        <v/>
      </c>
      <c r="B172">
        <f>IF($A172="", "", 'Hareket Girişi'!B174)</f>
        <v/>
      </c>
      <c r="C172">
        <f>IF($A172="", "", 'Hareket Girişi'!C174)</f>
        <v/>
      </c>
      <c r="D172" s="27">
        <f>IF($A172="", "", 'Hareket Girişi'!D174)</f>
        <v/>
      </c>
      <c r="E172" s="27">
        <f>IF($A172="", "", 'Hareket Girişi'!E174)</f>
        <v/>
      </c>
      <c r="F172" s="27">
        <f>IF($A172="", "", D172-E172)</f>
        <v/>
      </c>
    </row>
    <row r="173">
      <c r="A173" s="11">
        <f>IF('Hareket Girişi'!F175=3,'Hareket Girişi'!A175,"")</f>
        <v/>
      </c>
      <c r="B173">
        <f>IF($A173="", "", 'Hareket Girişi'!B175)</f>
        <v/>
      </c>
      <c r="C173">
        <f>IF($A173="", "", 'Hareket Girişi'!C175)</f>
        <v/>
      </c>
      <c r="D173" s="27">
        <f>IF($A173="", "", 'Hareket Girişi'!D175)</f>
        <v/>
      </c>
      <c r="E173" s="27">
        <f>IF($A173="", "", 'Hareket Girişi'!E175)</f>
        <v/>
      </c>
      <c r="F173" s="27">
        <f>IF($A173="", "", D173-E173)</f>
        <v/>
      </c>
    </row>
    <row r="174">
      <c r="A174" s="11">
        <f>IF('Hareket Girişi'!F176=3,'Hareket Girişi'!A176,"")</f>
        <v/>
      </c>
      <c r="B174">
        <f>IF($A174="", "", 'Hareket Girişi'!B176)</f>
        <v/>
      </c>
      <c r="C174">
        <f>IF($A174="", "", 'Hareket Girişi'!C176)</f>
        <v/>
      </c>
      <c r="D174" s="27">
        <f>IF($A174="", "", 'Hareket Girişi'!D176)</f>
        <v/>
      </c>
      <c r="E174" s="27">
        <f>IF($A174="", "", 'Hareket Girişi'!E176)</f>
        <v/>
      </c>
      <c r="F174" s="27">
        <f>IF($A174="", "", D174-E174)</f>
        <v/>
      </c>
    </row>
    <row r="175">
      <c r="A175" s="11">
        <f>IF('Hareket Girişi'!F177=3,'Hareket Girişi'!A177,"")</f>
        <v/>
      </c>
      <c r="B175">
        <f>IF($A175="", "", 'Hareket Girişi'!B177)</f>
        <v/>
      </c>
      <c r="C175">
        <f>IF($A175="", "", 'Hareket Girişi'!C177)</f>
        <v/>
      </c>
      <c r="D175" s="27">
        <f>IF($A175="", "", 'Hareket Girişi'!D177)</f>
        <v/>
      </c>
      <c r="E175" s="27">
        <f>IF($A175="", "", 'Hareket Girişi'!E177)</f>
        <v/>
      </c>
      <c r="F175" s="27">
        <f>IF($A175="", "", D175-E175)</f>
        <v/>
      </c>
    </row>
    <row r="176">
      <c r="A176" s="11">
        <f>IF('Hareket Girişi'!F178=3,'Hareket Girişi'!A178,"")</f>
        <v/>
      </c>
      <c r="B176">
        <f>IF($A176="", "", 'Hareket Girişi'!B178)</f>
        <v/>
      </c>
      <c r="C176">
        <f>IF($A176="", "", 'Hareket Girişi'!C178)</f>
        <v/>
      </c>
      <c r="D176" s="27">
        <f>IF($A176="", "", 'Hareket Girişi'!D178)</f>
        <v/>
      </c>
      <c r="E176" s="27">
        <f>IF($A176="", "", 'Hareket Girişi'!E178)</f>
        <v/>
      </c>
      <c r="F176" s="27">
        <f>IF($A176="", "", D176-E176)</f>
        <v/>
      </c>
    </row>
    <row r="177">
      <c r="A177" s="11">
        <f>IF('Hareket Girişi'!F179=3,'Hareket Girişi'!A179,"")</f>
        <v/>
      </c>
      <c r="B177">
        <f>IF($A177="", "", 'Hareket Girişi'!B179)</f>
        <v/>
      </c>
      <c r="C177">
        <f>IF($A177="", "", 'Hareket Girişi'!C179)</f>
        <v/>
      </c>
      <c r="D177" s="27">
        <f>IF($A177="", "", 'Hareket Girişi'!D179)</f>
        <v/>
      </c>
      <c r="E177" s="27">
        <f>IF($A177="", "", 'Hareket Girişi'!E179)</f>
        <v/>
      </c>
      <c r="F177" s="27">
        <f>IF($A177="", "", D177-E177)</f>
        <v/>
      </c>
    </row>
    <row r="178">
      <c r="A178" s="11">
        <f>IF('Hareket Girişi'!F180=3,'Hareket Girişi'!A180,"")</f>
        <v/>
      </c>
      <c r="B178">
        <f>IF($A178="", "", 'Hareket Girişi'!B180)</f>
        <v/>
      </c>
      <c r="C178">
        <f>IF($A178="", "", 'Hareket Girişi'!C180)</f>
        <v/>
      </c>
      <c r="D178" s="27">
        <f>IF($A178="", "", 'Hareket Girişi'!D180)</f>
        <v/>
      </c>
      <c r="E178" s="27">
        <f>IF($A178="", "", 'Hareket Girişi'!E180)</f>
        <v/>
      </c>
      <c r="F178" s="27">
        <f>IF($A178="", "", D178-E178)</f>
        <v/>
      </c>
    </row>
    <row r="179">
      <c r="A179" s="11">
        <f>IF('Hareket Girişi'!F181=3,'Hareket Girişi'!A181,"")</f>
        <v/>
      </c>
      <c r="B179">
        <f>IF($A179="", "", 'Hareket Girişi'!B181)</f>
        <v/>
      </c>
      <c r="C179">
        <f>IF($A179="", "", 'Hareket Girişi'!C181)</f>
        <v/>
      </c>
      <c r="D179" s="27">
        <f>IF($A179="", "", 'Hareket Girişi'!D181)</f>
        <v/>
      </c>
      <c r="E179" s="27">
        <f>IF($A179="", "", 'Hareket Girişi'!E181)</f>
        <v/>
      </c>
      <c r="F179" s="27">
        <f>IF($A179="", "", D179-E179)</f>
        <v/>
      </c>
    </row>
    <row r="180">
      <c r="A180" s="11">
        <f>IF('Hareket Girişi'!F182=3,'Hareket Girişi'!A182,"")</f>
        <v/>
      </c>
      <c r="B180">
        <f>IF($A180="", "", 'Hareket Girişi'!B182)</f>
        <v/>
      </c>
      <c r="C180">
        <f>IF($A180="", "", 'Hareket Girişi'!C182)</f>
        <v/>
      </c>
      <c r="D180" s="27">
        <f>IF($A180="", "", 'Hareket Girişi'!D182)</f>
        <v/>
      </c>
      <c r="E180" s="27">
        <f>IF($A180="", "", 'Hareket Girişi'!E182)</f>
        <v/>
      </c>
      <c r="F180" s="27">
        <f>IF($A180="", "", D180-E180)</f>
        <v/>
      </c>
    </row>
    <row r="181">
      <c r="A181" s="11">
        <f>IF('Hareket Girişi'!F183=3,'Hareket Girişi'!A183,"")</f>
        <v/>
      </c>
      <c r="B181">
        <f>IF($A181="", "", 'Hareket Girişi'!B183)</f>
        <v/>
      </c>
      <c r="C181">
        <f>IF($A181="", "", 'Hareket Girişi'!C183)</f>
        <v/>
      </c>
      <c r="D181" s="27">
        <f>IF($A181="", "", 'Hareket Girişi'!D183)</f>
        <v/>
      </c>
      <c r="E181" s="27">
        <f>IF($A181="", "", 'Hareket Girişi'!E183)</f>
        <v/>
      </c>
      <c r="F181" s="27">
        <f>IF($A181="", "", D181-E181)</f>
        <v/>
      </c>
    </row>
    <row r="182">
      <c r="A182" s="11">
        <f>IF('Hareket Girişi'!F184=3,'Hareket Girişi'!A184,"")</f>
        <v/>
      </c>
      <c r="B182">
        <f>IF($A182="", "", 'Hareket Girişi'!B184)</f>
        <v/>
      </c>
      <c r="C182">
        <f>IF($A182="", "", 'Hareket Girişi'!C184)</f>
        <v/>
      </c>
      <c r="D182" s="27">
        <f>IF($A182="", "", 'Hareket Girişi'!D184)</f>
        <v/>
      </c>
      <c r="E182" s="27">
        <f>IF($A182="", "", 'Hareket Girişi'!E184)</f>
        <v/>
      </c>
      <c r="F182" s="27">
        <f>IF($A182="", "", D182-E182)</f>
        <v/>
      </c>
    </row>
    <row r="183">
      <c r="A183" s="11">
        <f>IF('Hareket Girişi'!F185=3,'Hareket Girişi'!A185,"")</f>
        <v/>
      </c>
      <c r="B183">
        <f>IF($A183="", "", 'Hareket Girişi'!B185)</f>
        <v/>
      </c>
      <c r="C183">
        <f>IF($A183="", "", 'Hareket Girişi'!C185)</f>
        <v/>
      </c>
      <c r="D183" s="27">
        <f>IF($A183="", "", 'Hareket Girişi'!D185)</f>
        <v/>
      </c>
      <c r="E183" s="27">
        <f>IF($A183="", "", 'Hareket Girişi'!E185)</f>
        <v/>
      </c>
      <c r="F183" s="27">
        <f>IF($A183="", "", D183-E183)</f>
        <v/>
      </c>
    </row>
    <row r="184">
      <c r="A184" s="11">
        <f>IF('Hareket Girişi'!F186=3,'Hareket Girişi'!A186,"")</f>
        <v/>
      </c>
      <c r="B184">
        <f>IF($A184="", "", 'Hareket Girişi'!B186)</f>
        <v/>
      </c>
      <c r="C184">
        <f>IF($A184="", "", 'Hareket Girişi'!C186)</f>
        <v/>
      </c>
      <c r="D184" s="27">
        <f>IF($A184="", "", 'Hareket Girişi'!D186)</f>
        <v/>
      </c>
      <c r="E184" s="27">
        <f>IF($A184="", "", 'Hareket Girişi'!E186)</f>
        <v/>
      </c>
      <c r="F184" s="27">
        <f>IF($A184="", "", D184-E184)</f>
        <v/>
      </c>
    </row>
    <row r="185">
      <c r="A185" s="11">
        <f>IF('Hareket Girişi'!F187=3,'Hareket Girişi'!A187,"")</f>
        <v/>
      </c>
      <c r="B185">
        <f>IF($A185="", "", 'Hareket Girişi'!B187)</f>
        <v/>
      </c>
      <c r="C185">
        <f>IF($A185="", "", 'Hareket Girişi'!C187)</f>
        <v/>
      </c>
      <c r="D185" s="27">
        <f>IF($A185="", "", 'Hareket Girişi'!D187)</f>
        <v/>
      </c>
      <c r="E185" s="27">
        <f>IF($A185="", "", 'Hareket Girişi'!E187)</f>
        <v/>
      </c>
      <c r="F185" s="27">
        <f>IF($A185="", "", D185-E185)</f>
        <v/>
      </c>
    </row>
    <row r="186">
      <c r="A186" s="11">
        <f>IF('Hareket Girişi'!F188=3,'Hareket Girişi'!A188,"")</f>
        <v/>
      </c>
      <c r="B186">
        <f>IF($A186="", "", 'Hareket Girişi'!B188)</f>
        <v/>
      </c>
      <c r="C186">
        <f>IF($A186="", "", 'Hareket Girişi'!C188)</f>
        <v/>
      </c>
      <c r="D186" s="27">
        <f>IF($A186="", "", 'Hareket Girişi'!D188)</f>
        <v/>
      </c>
      <c r="E186" s="27">
        <f>IF($A186="", "", 'Hareket Girişi'!E188)</f>
        <v/>
      </c>
      <c r="F186" s="27">
        <f>IF($A186="", "", D186-E186)</f>
        <v/>
      </c>
    </row>
    <row r="187">
      <c r="A187" s="11">
        <f>IF('Hareket Girişi'!F189=3,'Hareket Girişi'!A189,"")</f>
        <v/>
      </c>
      <c r="B187">
        <f>IF($A187="", "", 'Hareket Girişi'!B189)</f>
        <v/>
      </c>
      <c r="C187">
        <f>IF($A187="", "", 'Hareket Girişi'!C189)</f>
        <v/>
      </c>
      <c r="D187" s="27">
        <f>IF($A187="", "", 'Hareket Girişi'!D189)</f>
        <v/>
      </c>
      <c r="E187" s="27">
        <f>IF($A187="", "", 'Hareket Girişi'!E189)</f>
        <v/>
      </c>
      <c r="F187" s="27">
        <f>IF($A187="", "", D187-E187)</f>
        <v/>
      </c>
    </row>
    <row r="188">
      <c r="A188" s="11">
        <f>IF('Hareket Girişi'!F190=3,'Hareket Girişi'!A190,"")</f>
        <v/>
      </c>
      <c r="B188">
        <f>IF($A188="", "", 'Hareket Girişi'!B190)</f>
        <v/>
      </c>
      <c r="C188">
        <f>IF($A188="", "", 'Hareket Girişi'!C190)</f>
        <v/>
      </c>
      <c r="D188" s="27">
        <f>IF($A188="", "", 'Hareket Girişi'!D190)</f>
        <v/>
      </c>
      <c r="E188" s="27">
        <f>IF($A188="", "", 'Hareket Girişi'!E190)</f>
        <v/>
      </c>
      <c r="F188" s="27">
        <f>IF($A188="", "", D188-E188)</f>
        <v/>
      </c>
    </row>
    <row r="189">
      <c r="A189" s="11">
        <f>IF('Hareket Girişi'!F191=3,'Hareket Girişi'!A191,"")</f>
        <v/>
      </c>
      <c r="B189">
        <f>IF($A189="", "", 'Hareket Girişi'!B191)</f>
        <v/>
      </c>
      <c r="C189">
        <f>IF($A189="", "", 'Hareket Girişi'!C191)</f>
        <v/>
      </c>
      <c r="D189" s="27">
        <f>IF($A189="", "", 'Hareket Girişi'!D191)</f>
        <v/>
      </c>
      <c r="E189" s="27">
        <f>IF($A189="", "", 'Hareket Girişi'!E191)</f>
        <v/>
      </c>
      <c r="F189" s="27">
        <f>IF($A189="", "", D189-E189)</f>
        <v/>
      </c>
    </row>
    <row r="190">
      <c r="A190" s="11">
        <f>IF('Hareket Girişi'!F192=3,'Hareket Girişi'!A192,"")</f>
        <v/>
      </c>
      <c r="B190">
        <f>IF($A190="", "", 'Hareket Girişi'!B192)</f>
        <v/>
      </c>
      <c r="C190">
        <f>IF($A190="", "", 'Hareket Girişi'!C192)</f>
        <v/>
      </c>
      <c r="D190" s="27">
        <f>IF($A190="", "", 'Hareket Girişi'!D192)</f>
        <v/>
      </c>
      <c r="E190" s="27">
        <f>IF($A190="", "", 'Hareket Girişi'!E192)</f>
        <v/>
      </c>
      <c r="F190" s="27">
        <f>IF($A190="", "", D190-E190)</f>
        <v/>
      </c>
    </row>
    <row r="191">
      <c r="A191" s="11">
        <f>IF('Hareket Girişi'!F193=3,'Hareket Girişi'!A193,"")</f>
        <v/>
      </c>
      <c r="B191">
        <f>IF($A191="", "", 'Hareket Girişi'!B193)</f>
        <v/>
      </c>
      <c r="C191">
        <f>IF($A191="", "", 'Hareket Girişi'!C193)</f>
        <v/>
      </c>
      <c r="D191" s="27">
        <f>IF($A191="", "", 'Hareket Girişi'!D193)</f>
        <v/>
      </c>
      <c r="E191" s="27">
        <f>IF($A191="", "", 'Hareket Girişi'!E193)</f>
        <v/>
      </c>
      <c r="F191" s="27">
        <f>IF($A191="", "", D191-E191)</f>
        <v/>
      </c>
    </row>
    <row r="192">
      <c r="A192" s="11">
        <f>IF('Hareket Girişi'!F194=3,'Hareket Girişi'!A194,"")</f>
        <v/>
      </c>
      <c r="B192">
        <f>IF($A192="", "", 'Hareket Girişi'!B194)</f>
        <v/>
      </c>
      <c r="C192">
        <f>IF($A192="", "", 'Hareket Girişi'!C194)</f>
        <v/>
      </c>
      <c r="D192" s="27">
        <f>IF($A192="", "", 'Hareket Girişi'!D194)</f>
        <v/>
      </c>
      <c r="E192" s="27">
        <f>IF($A192="", "", 'Hareket Girişi'!E194)</f>
        <v/>
      </c>
      <c r="F192" s="27">
        <f>IF($A192="", "", D192-E192)</f>
        <v/>
      </c>
    </row>
    <row r="193">
      <c r="A193" s="11">
        <f>IF('Hareket Girişi'!F195=3,'Hareket Girişi'!A195,"")</f>
        <v/>
      </c>
      <c r="B193">
        <f>IF($A193="", "", 'Hareket Girişi'!B195)</f>
        <v/>
      </c>
      <c r="C193">
        <f>IF($A193="", "", 'Hareket Girişi'!C195)</f>
        <v/>
      </c>
      <c r="D193" s="27">
        <f>IF($A193="", "", 'Hareket Girişi'!D195)</f>
        <v/>
      </c>
      <c r="E193" s="27">
        <f>IF($A193="", "", 'Hareket Girişi'!E195)</f>
        <v/>
      </c>
      <c r="F193" s="27">
        <f>IF($A193="", "", D193-E193)</f>
        <v/>
      </c>
    </row>
    <row r="194">
      <c r="A194" s="11">
        <f>IF('Hareket Girişi'!F196=3,'Hareket Girişi'!A196,"")</f>
        <v/>
      </c>
      <c r="B194">
        <f>IF($A194="", "", 'Hareket Girişi'!B196)</f>
        <v/>
      </c>
      <c r="C194">
        <f>IF($A194="", "", 'Hareket Girişi'!C196)</f>
        <v/>
      </c>
      <c r="D194" s="27">
        <f>IF($A194="", "", 'Hareket Girişi'!D196)</f>
        <v/>
      </c>
      <c r="E194" s="27">
        <f>IF($A194="", "", 'Hareket Girişi'!E196)</f>
        <v/>
      </c>
      <c r="F194" s="27">
        <f>IF($A194="", "", D194-E194)</f>
        <v/>
      </c>
    </row>
    <row r="195">
      <c r="A195" s="11">
        <f>IF('Hareket Girişi'!F197=3,'Hareket Girişi'!A197,"")</f>
        <v/>
      </c>
      <c r="B195">
        <f>IF($A195="", "", 'Hareket Girişi'!B197)</f>
        <v/>
      </c>
      <c r="C195">
        <f>IF($A195="", "", 'Hareket Girişi'!C197)</f>
        <v/>
      </c>
      <c r="D195" s="27">
        <f>IF($A195="", "", 'Hareket Girişi'!D197)</f>
        <v/>
      </c>
      <c r="E195" s="27">
        <f>IF($A195="", "", 'Hareket Girişi'!E197)</f>
        <v/>
      </c>
      <c r="F195" s="27">
        <f>IF($A195="", "", D195-E195)</f>
        <v/>
      </c>
    </row>
    <row r="196">
      <c r="A196" s="11">
        <f>IF('Hareket Girişi'!F198=3,'Hareket Girişi'!A198,"")</f>
        <v/>
      </c>
      <c r="B196">
        <f>IF($A196="", "", 'Hareket Girişi'!B198)</f>
        <v/>
      </c>
      <c r="C196">
        <f>IF($A196="", "", 'Hareket Girişi'!C198)</f>
        <v/>
      </c>
      <c r="D196" s="27">
        <f>IF($A196="", "", 'Hareket Girişi'!D198)</f>
        <v/>
      </c>
      <c r="E196" s="27">
        <f>IF($A196="", "", 'Hareket Girişi'!E198)</f>
        <v/>
      </c>
      <c r="F196" s="27">
        <f>IF($A196="", "", D196-E196)</f>
        <v/>
      </c>
    </row>
    <row r="197">
      <c r="A197" s="11">
        <f>IF('Hareket Girişi'!F199=3,'Hareket Girişi'!A199,"")</f>
        <v/>
      </c>
      <c r="B197">
        <f>IF($A197="", "", 'Hareket Girişi'!B199)</f>
        <v/>
      </c>
      <c r="C197">
        <f>IF($A197="", "", 'Hareket Girişi'!C199)</f>
        <v/>
      </c>
      <c r="D197" s="27">
        <f>IF($A197="", "", 'Hareket Girişi'!D199)</f>
        <v/>
      </c>
      <c r="E197" s="27">
        <f>IF($A197="", "", 'Hareket Girişi'!E199)</f>
        <v/>
      </c>
      <c r="F197" s="27">
        <f>IF($A197="", "", D197-E197)</f>
        <v/>
      </c>
    </row>
    <row r="198">
      <c r="A198" s="11">
        <f>IF('Hareket Girişi'!F200=3,'Hareket Girişi'!A200,"")</f>
        <v/>
      </c>
      <c r="B198">
        <f>IF($A198="", "", 'Hareket Girişi'!B200)</f>
        <v/>
      </c>
      <c r="C198">
        <f>IF($A198="", "", 'Hareket Girişi'!C200)</f>
        <v/>
      </c>
      <c r="D198" s="27">
        <f>IF($A198="", "", 'Hareket Girişi'!D200)</f>
        <v/>
      </c>
      <c r="E198" s="27">
        <f>IF($A198="", "", 'Hareket Girişi'!E200)</f>
        <v/>
      </c>
      <c r="F198" s="27">
        <f>IF($A198="", "", D198-E198)</f>
        <v/>
      </c>
    </row>
    <row r="199">
      <c r="A199" s="11">
        <f>IF('Hareket Girişi'!F201=3,'Hareket Girişi'!A201,"")</f>
        <v/>
      </c>
      <c r="B199">
        <f>IF($A199="", "", 'Hareket Girişi'!B201)</f>
        <v/>
      </c>
      <c r="C199">
        <f>IF($A199="", "", 'Hareket Girişi'!C201)</f>
        <v/>
      </c>
      <c r="D199" s="27">
        <f>IF($A199="", "", 'Hareket Girişi'!D201)</f>
        <v/>
      </c>
      <c r="E199" s="27">
        <f>IF($A199="", "", 'Hareket Girişi'!E201)</f>
        <v/>
      </c>
      <c r="F199" s="27">
        <f>IF($A199="", "", D199-E199)</f>
        <v/>
      </c>
    </row>
    <row r="200">
      <c r="A200" s="11">
        <f>IF('Hareket Girişi'!F202=3,'Hareket Girişi'!A202,"")</f>
        <v/>
      </c>
      <c r="B200">
        <f>IF($A200="", "", 'Hareket Girişi'!B202)</f>
        <v/>
      </c>
      <c r="C200">
        <f>IF($A200="", "", 'Hareket Girişi'!C202)</f>
        <v/>
      </c>
      <c r="D200" s="27">
        <f>IF($A200="", "", 'Hareket Girişi'!D202)</f>
        <v/>
      </c>
      <c r="E200" s="27">
        <f>IF($A200="", "", 'Hareket Girişi'!E202)</f>
        <v/>
      </c>
      <c r="F200" s="27">
        <f>IF($A200="", "", D200-E200)</f>
        <v/>
      </c>
    </row>
    <row r="201">
      <c r="A201" s="11">
        <f>IF('Hareket Girişi'!F203=3,'Hareket Girişi'!A203,"")</f>
        <v/>
      </c>
      <c r="B201">
        <f>IF($A201="", "", 'Hareket Girişi'!B203)</f>
        <v/>
      </c>
      <c r="C201">
        <f>IF($A201="", "", 'Hareket Girişi'!C203)</f>
        <v/>
      </c>
      <c r="D201" s="27">
        <f>IF($A201="", "", 'Hareket Girişi'!D203)</f>
        <v/>
      </c>
      <c r="E201" s="27">
        <f>IF($A201="", "", 'Hareket Girişi'!E203)</f>
        <v/>
      </c>
      <c r="F201" s="27">
        <f>IF($A201="", "", D201-E201)</f>
        <v/>
      </c>
    </row>
    <row r="202">
      <c r="A202" s="11">
        <f>IF('Hareket Girişi'!F204=3,'Hareket Girişi'!A204,"")</f>
        <v/>
      </c>
      <c r="B202">
        <f>IF($A202="", "", 'Hareket Girişi'!B204)</f>
        <v/>
      </c>
      <c r="C202">
        <f>IF($A202="", "", 'Hareket Girişi'!C204)</f>
        <v/>
      </c>
      <c r="D202" s="27">
        <f>IF($A202="", "", 'Hareket Girişi'!D204)</f>
        <v/>
      </c>
      <c r="E202" s="27">
        <f>IF($A202="", "", 'Hareket Girişi'!E204)</f>
        <v/>
      </c>
      <c r="F202" s="27">
        <f>IF($A202="", "", D202-E202)</f>
        <v/>
      </c>
    </row>
    <row r="203">
      <c r="A203" s="11">
        <f>IF('Hareket Girişi'!F205=3,'Hareket Girişi'!A205,"")</f>
        <v/>
      </c>
      <c r="B203">
        <f>IF($A203="", "", 'Hareket Girişi'!B205)</f>
        <v/>
      </c>
      <c r="C203">
        <f>IF($A203="", "", 'Hareket Girişi'!C205)</f>
        <v/>
      </c>
      <c r="D203" s="27">
        <f>IF($A203="", "", 'Hareket Girişi'!D205)</f>
        <v/>
      </c>
      <c r="E203" s="27">
        <f>IF($A203="", "", 'Hareket Girişi'!E205)</f>
        <v/>
      </c>
      <c r="F203" s="27">
        <f>IF($A203="", "", D203-E203)</f>
        <v/>
      </c>
    </row>
    <row r="204">
      <c r="C204" s="13" t="inlineStr">
        <is>
          <t>TOPLAM</t>
        </is>
      </c>
      <c r="D204" s="14">
        <f>SUM(D4:D203)</f>
        <v/>
      </c>
      <c r="E204" s="14">
        <f>SUM(E4:E203)</f>
        <v/>
      </c>
      <c r="F204" s="14">
        <f>SUM(F4:F203)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TAHSILATLAR DETAY</t>
        </is>
      </c>
    </row>
    <row r="3">
      <c r="A3" s="10" t="inlineStr">
        <is>
          <t>Tarih</t>
        </is>
      </c>
      <c r="B3" s="10" t="inlineStr">
        <is>
          <t>Tür</t>
        </is>
      </c>
      <c r="C3" s="10" t="inlineStr">
        <is>
          <t>Açıklama</t>
        </is>
      </c>
      <c r="D3" s="10" t="inlineStr">
        <is>
          <t>Borç</t>
        </is>
      </c>
      <c r="E3" s="10" t="inlineStr">
        <is>
          <t>Alacak</t>
        </is>
      </c>
      <c r="F3" s="10" t="inlineStr">
        <is>
          <t>Net</t>
        </is>
      </c>
    </row>
    <row r="4">
      <c r="A4" s="11">
        <f>IF('Hareket Girişi'!E6&gt;0,'Hareket Girişi'!A6,"")</f>
        <v/>
      </c>
      <c r="B4">
        <f>IF($A4="", "", 'Hareket Girişi'!B6)</f>
        <v/>
      </c>
      <c r="C4">
        <f>IF($A4="", "", 'Hareket Girişi'!C6)</f>
        <v/>
      </c>
      <c r="D4" s="27">
        <f>IF($A4="", "", 'Hareket Girişi'!D6)</f>
        <v/>
      </c>
      <c r="E4" s="27">
        <f>IF($A4="", "", 'Hareket Girişi'!E6)</f>
        <v/>
      </c>
      <c r="F4" s="27">
        <f>IF($A4="", "", D4-E4)</f>
        <v/>
      </c>
    </row>
    <row r="5">
      <c r="A5" s="11">
        <f>IF('Hareket Girişi'!E7&gt;0,'Hareket Girişi'!A7,"")</f>
        <v/>
      </c>
      <c r="B5">
        <f>IF($A5="", "", 'Hareket Girişi'!B7)</f>
        <v/>
      </c>
      <c r="C5">
        <f>IF($A5="", "", 'Hareket Girişi'!C7)</f>
        <v/>
      </c>
      <c r="D5" s="27">
        <f>IF($A5="", "", 'Hareket Girişi'!D7)</f>
        <v/>
      </c>
      <c r="E5" s="27">
        <f>IF($A5="", "", 'Hareket Girişi'!E7)</f>
        <v/>
      </c>
      <c r="F5" s="27">
        <f>IF($A5="", "", D5-E5)</f>
        <v/>
      </c>
    </row>
    <row r="6">
      <c r="A6" s="11">
        <f>IF('Hareket Girişi'!E8&gt;0,'Hareket Girişi'!A8,"")</f>
        <v/>
      </c>
      <c r="B6">
        <f>IF($A6="", "", 'Hareket Girişi'!B8)</f>
        <v/>
      </c>
      <c r="C6">
        <f>IF($A6="", "", 'Hareket Girişi'!C8)</f>
        <v/>
      </c>
      <c r="D6" s="27">
        <f>IF($A6="", "", 'Hareket Girişi'!D8)</f>
        <v/>
      </c>
      <c r="E6" s="27">
        <f>IF($A6="", "", 'Hareket Girişi'!E8)</f>
        <v/>
      </c>
      <c r="F6" s="27">
        <f>IF($A6="", "", D6-E6)</f>
        <v/>
      </c>
    </row>
    <row r="7">
      <c r="A7" s="11">
        <f>IF('Hareket Girişi'!E9&gt;0,'Hareket Girişi'!A9,"")</f>
        <v/>
      </c>
      <c r="B7">
        <f>IF($A7="", "", 'Hareket Girişi'!B9)</f>
        <v/>
      </c>
      <c r="C7">
        <f>IF($A7="", "", 'Hareket Girişi'!C9)</f>
        <v/>
      </c>
      <c r="D7" s="27">
        <f>IF($A7="", "", 'Hareket Girişi'!D9)</f>
        <v/>
      </c>
      <c r="E7" s="27">
        <f>IF($A7="", "", 'Hareket Girişi'!E9)</f>
        <v/>
      </c>
      <c r="F7" s="27">
        <f>IF($A7="", "", D7-E7)</f>
        <v/>
      </c>
    </row>
    <row r="8">
      <c r="A8" s="11">
        <f>IF('Hareket Girişi'!E10&gt;0,'Hareket Girişi'!A10,"")</f>
        <v/>
      </c>
      <c r="B8">
        <f>IF($A8="", "", 'Hareket Girişi'!B10)</f>
        <v/>
      </c>
      <c r="C8">
        <f>IF($A8="", "", 'Hareket Girişi'!C10)</f>
        <v/>
      </c>
      <c r="D8" s="27">
        <f>IF($A8="", "", 'Hareket Girişi'!D10)</f>
        <v/>
      </c>
      <c r="E8" s="27">
        <f>IF($A8="", "", 'Hareket Girişi'!E10)</f>
        <v/>
      </c>
      <c r="F8" s="27">
        <f>IF($A8="", "", D8-E8)</f>
        <v/>
      </c>
    </row>
    <row r="9">
      <c r="A9" s="11">
        <f>IF('Hareket Girişi'!E11&gt;0,'Hareket Girişi'!A11,"")</f>
        <v/>
      </c>
      <c r="B9">
        <f>IF($A9="", "", 'Hareket Girişi'!B11)</f>
        <v/>
      </c>
      <c r="C9">
        <f>IF($A9="", "", 'Hareket Girişi'!C11)</f>
        <v/>
      </c>
      <c r="D9" s="27">
        <f>IF($A9="", "", 'Hareket Girişi'!D11)</f>
        <v/>
      </c>
      <c r="E9" s="27">
        <f>IF($A9="", "", 'Hareket Girişi'!E11)</f>
        <v/>
      </c>
      <c r="F9" s="27">
        <f>IF($A9="", "", D9-E9)</f>
        <v/>
      </c>
    </row>
    <row r="10">
      <c r="A10" s="11">
        <f>IF('Hareket Girişi'!E12&gt;0,'Hareket Girişi'!A12,"")</f>
        <v/>
      </c>
      <c r="B10">
        <f>IF($A10="", "", 'Hareket Girişi'!B12)</f>
        <v/>
      </c>
      <c r="C10">
        <f>IF($A10="", "", 'Hareket Girişi'!C12)</f>
        <v/>
      </c>
      <c r="D10" s="27">
        <f>IF($A10="", "", 'Hareket Girişi'!D12)</f>
        <v/>
      </c>
      <c r="E10" s="27">
        <f>IF($A10="", "", 'Hareket Girişi'!E12)</f>
        <v/>
      </c>
      <c r="F10" s="27">
        <f>IF($A10="", "", D10-E10)</f>
        <v/>
      </c>
    </row>
    <row r="11">
      <c r="A11" s="11">
        <f>IF('Hareket Girişi'!E13&gt;0,'Hareket Girişi'!A13,"")</f>
        <v/>
      </c>
      <c r="B11">
        <f>IF($A11="", "", 'Hareket Girişi'!B13)</f>
        <v/>
      </c>
      <c r="C11">
        <f>IF($A11="", "", 'Hareket Girişi'!C13)</f>
        <v/>
      </c>
      <c r="D11" s="27">
        <f>IF($A11="", "", 'Hareket Girişi'!D13)</f>
        <v/>
      </c>
      <c r="E11" s="27">
        <f>IF($A11="", "", 'Hareket Girişi'!E13)</f>
        <v/>
      </c>
      <c r="F11" s="27">
        <f>IF($A11="", "", D11-E11)</f>
        <v/>
      </c>
    </row>
    <row r="12">
      <c r="A12" s="11">
        <f>IF('Hareket Girişi'!E14&gt;0,'Hareket Girişi'!A14,"")</f>
        <v/>
      </c>
      <c r="B12">
        <f>IF($A12="", "", 'Hareket Girişi'!B14)</f>
        <v/>
      </c>
      <c r="C12">
        <f>IF($A12="", "", 'Hareket Girişi'!C14)</f>
        <v/>
      </c>
      <c r="D12" s="27">
        <f>IF($A12="", "", 'Hareket Girişi'!D14)</f>
        <v/>
      </c>
      <c r="E12" s="27">
        <f>IF($A12="", "", 'Hareket Girişi'!E14)</f>
        <v/>
      </c>
      <c r="F12" s="27">
        <f>IF($A12="", "", D12-E12)</f>
        <v/>
      </c>
    </row>
    <row r="13">
      <c r="A13" s="11">
        <f>IF('Hareket Girişi'!E15&gt;0,'Hareket Girişi'!A15,"")</f>
        <v/>
      </c>
      <c r="B13">
        <f>IF($A13="", "", 'Hareket Girişi'!B15)</f>
        <v/>
      </c>
      <c r="C13">
        <f>IF($A13="", "", 'Hareket Girişi'!C15)</f>
        <v/>
      </c>
      <c r="D13" s="27">
        <f>IF($A13="", "", 'Hareket Girişi'!D15)</f>
        <v/>
      </c>
      <c r="E13" s="27">
        <f>IF($A13="", "", 'Hareket Girişi'!E15)</f>
        <v/>
      </c>
      <c r="F13" s="27">
        <f>IF($A13="", "", D13-E13)</f>
        <v/>
      </c>
    </row>
    <row r="14">
      <c r="A14" s="11">
        <f>IF('Hareket Girişi'!E16&gt;0,'Hareket Girişi'!A16,"")</f>
        <v/>
      </c>
      <c r="B14">
        <f>IF($A14="", "", 'Hareket Girişi'!B16)</f>
        <v/>
      </c>
      <c r="C14">
        <f>IF($A14="", "", 'Hareket Girişi'!C16)</f>
        <v/>
      </c>
      <c r="D14" s="27">
        <f>IF($A14="", "", 'Hareket Girişi'!D16)</f>
        <v/>
      </c>
      <c r="E14" s="27">
        <f>IF($A14="", "", 'Hareket Girişi'!E16)</f>
        <v/>
      </c>
      <c r="F14" s="27">
        <f>IF($A14="", "", D14-E14)</f>
        <v/>
      </c>
    </row>
    <row r="15">
      <c r="A15" s="11">
        <f>IF('Hareket Girişi'!E17&gt;0,'Hareket Girişi'!A17,"")</f>
        <v/>
      </c>
      <c r="B15">
        <f>IF($A15="", "", 'Hareket Girişi'!B17)</f>
        <v/>
      </c>
      <c r="C15">
        <f>IF($A15="", "", 'Hareket Girişi'!C17)</f>
        <v/>
      </c>
      <c r="D15" s="27">
        <f>IF($A15="", "", 'Hareket Girişi'!D17)</f>
        <v/>
      </c>
      <c r="E15" s="27">
        <f>IF($A15="", "", 'Hareket Girişi'!E17)</f>
        <v/>
      </c>
      <c r="F15" s="27">
        <f>IF($A15="", "", D15-E15)</f>
        <v/>
      </c>
    </row>
    <row r="16">
      <c r="A16" s="11">
        <f>IF('Hareket Girişi'!E18&gt;0,'Hareket Girişi'!A18,"")</f>
        <v/>
      </c>
      <c r="B16">
        <f>IF($A16="", "", 'Hareket Girişi'!B18)</f>
        <v/>
      </c>
      <c r="C16">
        <f>IF($A16="", "", 'Hareket Girişi'!C18)</f>
        <v/>
      </c>
      <c r="D16" s="27">
        <f>IF($A16="", "", 'Hareket Girişi'!D18)</f>
        <v/>
      </c>
      <c r="E16" s="27">
        <f>IF($A16="", "", 'Hareket Girişi'!E18)</f>
        <v/>
      </c>
      <c r="F16" s="27">
        <f>IF($A16="", "", D16-E16)</f>
        <v/>
      </c>
    </row>
    <row r="17">
      <c r="A17" s="11">
        <f>IF('Hareket Girişi'!E19&gt;0,'Hareket Girişi'!A19,"")</f>
        <v/>
      </c>
      <c r="B17">
        <f>IF($A17="", "", 'Hareket Girişi'!B19)</f>
        <v/>
      </c>
      <c r="C17">
        <f>IF($A17="", "", 'Hareket Girişi'!C19)</f>
        <v/>
      </c>
      <c r="D17" s="27">
        <f>IF($A17="", "", 'Hareket Girişi'!D19)</f>
        <v/>
      </c>
      <c r="E17" s="27">
        <f>IF($A17="", "", 'Hareket Girişi'!E19)</f>
        <v/>
      </c>
      <c r="F17" s="27">
        <f>IF($A17="", "", D17-E17)</f>
        <v/>
      </c>
    </row>
    <row r="18">
      <c r="A18" s="11">
        <f>IF('Hareket Girişi'!E20&gt;0,'Hareket Girişi'!A20,"")</f>
        <v/>
      </c>
      <c r="B18">
        <f>IF($A18="", "", 'Hareket Girişi'!B20)</f>
        <v/>
      </c>
      <c r="C18">
        <f>IF($A18="", "", 'Hareket Girişi'!C20)</f>
        <v/>
      </c>
      <c r="D18" s="27">
        <f>IF($A18="", "", 'Hareket Girişi'!D20)</f>
        <v/>
      </c>
      <c r="E18" s="27">
        <f>IF($A18="", "", 'Hareket Girişi'!E20)</f>
        <v/>
      </c>
      <c r="F18" s="27">
        <f>IF($A18="", "", D18-E18)</f>
        <v/>
      </c>
    </row>
    <row r="19">
      <c r="A19" s="11">
        <f>IF('Hareket Girişi'!E21&gt;0,'Hareket Girişi'!A21,"")</f>
        <v/>
      </c>
      <c r="B19">
        <f>IF($A19="", "", 'Hareket Girişi'!B21)</f>
        <v/>
      </c>
      <c r="C19">
        <f>IF($A19="", "", 'Hareket Girişi'!C21)</f>
        <v/>
      </c>
      <c r="D19" s="27">
        <f>IF($A19="", "", 'Hareket Girişi'!D21)</f>
        <v/>
      </c>
      <c r="E19" s="27">
        <f>IF($A19="", "", 'Hareket Girişi'!E21)</f>
        <v/>
      </c>
      <c r="F19" s="27">
        <f>IF($A19="", "", D19-E19)</f>
        <v/>
      </c>
    </row>
    <row r="20">
      <c r="A20" s="11">
        <f>IF('Hareket Girişi'!E22&gt;0,'Hareket Girişi'!A22,"")</f>
        <v/>
      </c>
      <c r="B20">
        <f>IF($A20="", "", 'Hareket Girişi'!B22)</f>
        <v/>
      </c>
      <c r="C20">
        <f>IF($A20="", "", 'Hareket Girişi'!C22)</f>
        <v/>
      </c>
      <c r="D20" s="27">
        <f>IF($A20="", "", 'Hareket Girişi'!D22)</f>
        <v/>
      </c>
      <c r="E20" s="27">
        <f>IF($A20="", "", 'Hareket Girişi'!E22)</f>
        <v/>
      </c>
      <c r="F20" s="27">
        <f>IF($A20="", "", D20-E20)</f>
        <v/>
      </c>
    </row>
    <row r="21">
      <c r="A21" s="11">
        <f>IF('Hareket Girişi'!E23&gt;0,'Hareket Girişi'!A23,"")</f>
        <v/>
      </c>
      <c r="B21">
        <f>IF($A21="", "", 'Hareket Girişi'!B23)</f>
        <v/>
      </c>
      <c r="C21">
        <f>IF($A21="", "", 'Hareket Girişi'!C23)</f>
        <v/>
      </c>
      <c r="D21" s="27">
        <f>IF($A21="", "", 'Hareket Girişi'!D23)</f>
        <v/>
      </c>
      <c r="E21" s="27">
        <f>IF($A21="", "", 'Hareket Girişi'!E23)</f>
        <v/>
      </c>
      <c r="F21" s="27">
        <f>IF($A21="", "", D21-E21)</f>
        <v/>
      </c>
    </row>
    <row r="22">
      <c r="A22" s="11">
        <f>IF('Hareket Girişi'!E24&gt;0,'Hareket Girişi'!A24,"")</f>
        <v/>
      </c>
      <c r="B22">
        <f>IF($A22="", "", 'Hareket Girişi'!B24)</f>
        <v/>
      </c>
      <c r="C22">
        <f>IF($A22="", "", 'Hareket Girişi'!C24)</f>
        <v/>
      </c>
      <c r="D22" s="27">
        <f>IF($A22="", "", 'Hareket Girişi'!D24)</f>
        <v/>
      </c>
      <c r="E22" s="27">
        <f>IF($A22="", "", 'Hareket Girişi'!E24)</f>
        <v/>
      </c>
      <c r="F22" s="27">
        <f>IF($A22="", "", D22-E22)</f>
        <v/>
      </c>
    </row>
    <row r="23">
      <c r="A23" s="11">
        <f>IF('Hareket Girişi'!E25&gt;0,'Hareket Girişi'!A25,"")</f>
        <v/>
      </c>
      <c r="B23">
        <f>IF($A23="", "", 'Hareket Girişi'!B25)</f>
        <v/>
      </c>
      <c r="C23">
        <f>IF($A23="", "", 'Hareket Girişi'!C25)</f>
        <v/>
      </c>
      <c r="D23" s="27">
        <f>IF($A23="", "", 'Hareket Girişi'!D25)</f>
        <v/>
      </c>
      <c r="E23" s="27">
        <f>IF($A23="", "", 'Hareket Girişi'!E25)</f>
        <v/>
      </c>
      <c r="F23" s="27">
        <f>IF($A23="", "", D23-E23)</f>
        <v/>
      </c>
    </row>
    <row r="24">
      <c r="A24" s="11">
        <f>IF('Hareket Girişi'!E26&gt;0,'Hareket Girişi'!A26,"")</f>
        <v/>
      </c>
      <c r="B24">
        <f>IF($A24="", "", 'Hareket Girişi'!B26)</f>
        <v/>
      </c>
      <c r="C24">
        <f>IF($A24="", "", 'Hareket Girişi'!C26)</f>
        <v/>
      </c>
      <c r="D24" s="27">
        <f>IF($A24="", "", 'Hareket Girişi'!D26)</f>
        <v/>
      </c>
      <c r="E24" s="27">
        <f>IF($A24="", "", 'Hareket Girişi'!E26)</f>
        <v/>
      </c>
      <c r="F24" s="27">
        <f>IF($A24="", "", D24-E24)</f>
        <v/>
      </c>
    </row>
    <row r="25">
      <c r="A25" s="11">
        <f>IF('Hareket Girişi'!E27&gt;0,'Hareket Girişi'!A27,"")</f>
        <v/>
      </c>
      <c r="B25">
        <f>IF($A25="", "", 'Hareket Girişi'!B27)</f>
        <v/>
      </c>
      <c r="C25">
        <f>IF($A25="", "", 'Hareket Girişi'!C27)</f>
        <v/>
      </c>
      <c r="D25" s="27">
        <f>IF($A25="", "", 'Hareket Girişi'!D27)</f>
        <v/>
      </c>
      <c r="E25" s="27">
        <f>IF($A25="", "", 'Hareket Girişi'!E27)</f>
        <v/>
      </c>
      <c r="F25" s="27">
        <f>IF($A25="", "", D25-E25)</f>
        <v/>
      </c>
    </row>
    <row r="26">
      <c r="A26" s="11">
        <f>IF('Hareket Girişi'!E28&gt;0,'Hareket Girişi'!A28,"")</f>
        <v/>
      </c>
      <c r="B26">
        <f>IF($A26="", "", 'Hareket Girişi'!B28)</f>
        <v/>
      </c>
      <c r="C26">
        <f>IF($A26="", "", 'Hareket Girişi'!C28)</f>
        <v/>
      </c>
      <c r="D26" s="27">
        <f>IF($A26="", "", 'Hareket Girişi'!D28)</f>
        <v/>
      </c>
      <c r="E26" s="27">
        <f>IF($A26="", "", 'Hareket Girişi'!E28)</f>
        <v/>
      </c>
      <c r="F26" s="27">
        <f>IF($A26="", "", D26-E26)</f>
        <v/>
      </c>
    </row>
    <row r="27">
      <c r="A27" s="11">
        <f>IF('Hareket Girişi'!E29&gt;0,'Hareket Girişi'!A29,"")</f>
        <v/>
      </c>
      <c r="B27">
        <f>IF($A27="", "", 'Hareket Girişi'!B29)</f>
        <v/>
      </c>
      <c r="C27">
        <f>IF($A27="", "", 'Hareket Girişi'!C29)</f>
        <v/>
      </c>
      <c r="D27" s="27">
        <f>IF($A27="", "", 'Hareket Girişi'!D29)</f>
        <v/>
      </c>
      <c r="E27" s="27">
        <f>IF($A27="", "", 'Hareket Girişi'!E29)</f>
        <v/>
      </c>
      <c r="F27" s="27">
        <f>IF($A27="", "", D27-E27)</f>
        <v/>
      </c>
    </row>
    <row r="28">
      <c r="A28" s="11">
        <f>IF('Hareket Girişi'!E30&gt;0,'Hareket Girişi'!A30,"")</f>
        <v/>
      </c>
      <c r="B28">
        <f>IF($A28="", "", 'Hareket Girişi'!B30)</f>
        <v/>
      </c>
      <c r="C28">
        <f>IF($A28="", "", 'Hareket Girişi'!C30)</f>
        <v/>
      </c>
      <c r="D28" s="27">
        <f>IF($A28="", "", 'Hareket Girişi'!D30)</f>
        <v/>
      </c>
      <c r="E28" s="27">
        <f>IF($A28="", "", 'Hareket Girişi'!E30)</f>
        <v/>
      </c>
      <c r="F28" s="27">
        <f>IF($A28="", "", D28-E28)</f>
        <v/>
      </c>
    </row>
    <row r="29">
      <c r="A29" s="11">
        <f>IF('Hareket Girişi'!E31&gt;0,'Hareket Girişi'!A31,"")</f>
        <v/>
      </c>
      <c r="B29">
        <f>IF($A29="", "", 'Hareket Girişi'!B31)</f>
        <v/>
      </c>
      <c r="C29">
        <f>IF($A29="", "", 'Hareket Girişi'!C31)</f>
        <v/>
      </c>
      <c r="D29" s="27">
        <f>IF($A29="", "", 'Hareket Girişi'!D31)</f>
        <v/>
      </c>
      <c r="E29" s="27">
        <f>IF($A29="", "", 'Hareket Girişi'!E31)</f>
        <v/>
      </c>
      <c r="F29" s="27">
        <f>IF($A29="", "", D29-E29)</f>
        <v/>
      </c>
    </row>
    <row r="30">
      <c r="A30" s="11">
        <f>IF('Hareket Girişi'!E32&gt;0,'Hareket Girişi'!A32,"")</f>
        <v/>
      </c>
      <c r="B30">
        <f>IF($A30="", "", 'Hareket Girişi'!B32)</f>
        <v/>
      </c>
      <c r="C30">
        <f>IF($A30="", "", 'Hareket Girişi'!C32)</f>
        <v/>
      </c>
      <c r="D30" s="27">
        <f>IF($A30="", "", 'Hareket Girişi'!D32)</f>
        <v/>
      </c>
      <c r="E30" s="27">
        <f>IF($A30="", "", 'Hareket Girişi'!E32)</f>
        <v/>
      </c>
      <c r="F30" s="27">
        <f>IF($A30="", "", D30-E30)</f>
        <v/>
      </c>
    </row>
    <row r="31">
      <c r="A31" s="11">
        <f>IF('Hareket Girişi'!E33&gt;0,'Hareket Girişi'!A33,"")</f>
        <v/>
      </c>
      <c r="B31">
        <f>IF($A31="", "", 'Hareket Girişi'!B33)</f>
        <v/>
      </c>
      <c r="C31">
        <f>IF($A31="", "", 'Hareket Girişi'!C33)</f>
        <v/>
      </c>
      <c r="D31" s="27">
        <f>IF($A31="", "", 'Hareket Girişi'!D33)</f>
        <v/>
      </c>
      <c r="E31" s="27">
        <f>IF($A31="", "", 'Hareket Girişi'!E33)</f>
        <v/>
      </c>
      <c r="F31" s="27">
        <f>IF($A31="", "", D31-E31)</f>
        <v/>
      </c>
    </row>
    <row r="32">
      <c r="A32" s="11">
        <f>IF('Hareket Girişi'!E34&gt;0,'Hareket Girişi'!A34,"")</f>
        <v/>
      </c>
      <c r="B32">
        <f>IF($A32="", "", 'Hareket Girişi'!B34)</f>
        <v/>
      </c>
      <c r="C32">
        <f>IF($A32="", "", 'Hareket Girişi'!C34)</f>
        <v/>
      </c>
      <c r="D32" s="27">
        <f>IF($A32="", "", 'Hareket Girişi'!D34)</f>
        <v/>
      </c>
      <c r="E32" s="27">
        <f>IF($A32="", "", 'Hareket Girişi'!E34)</f>
        <v/>
      </c>
      <c r="F32" s="27">
        <f>IF($A32="", "", D32-E32)</f>
        <v/>
      </c>
    </row>
    <row r="33">
      <c r="A33" s="11">
        <f>IF('Hareket Girişi'!E35&gt;0,'Hareket Girişi'!A35,"")</f>
        <v/>
      </c>
      <c r="B33">
        <f>IF($A33="", "", 'Hareket Girişi'!B35)</f>
        <v/>
      </c>
      <c r="C33">
        <f>IF($A33="", "", 'Hareket Girişi'!C35)</f>
        <v/>
      </c>
      <c r="D33" s="27">
        <f>IF($A33="", "", 'Hareket Girişi'!D35)</f>
        <v/>
      </c>
      <c r="E33" s="27">
        <f>IF($A33="", "", 'Hareket Girişi'!E35)</f>
        <v/>
      </c>
      <c r="F33" s="27">
        <f>IF($A33="", "", D33-E33)</f>
        <v/>
      </c>
    </row>
    <row r="34">
      <c r="A34" s="11">
        <f>IF('Hareket Girişi'!E36&gt;0,'Hareket Girişi'!A36,"")</f>
        <v/>
      </c>
      <c r="B34">
        <f>IF($A34="", "", 'Hareket Girişi'!B36)</f>
        <v/>
      </c>
      <c r="C34">
        <f>IF($A34="", "", 'Hareket Girişi'!C36)</f>
        <v/>
      </c>
      <c r="D34" s="27">
        <f>IF($A34="", "", 'Hareket Girişi'!D36)</f>
        <v/>
      </c>
      <c r="E34" s="27">
        <f>IF($A34="", "", 'Hareket Girişi'!E36)</f>
        <v/>
      </c>
      <c r="F34" s="27">
        <f>IF($A34="", "", D34-E34)</f>
        <v/>
      </c>
    </row>
    <row r="35">
      <c r="A35" s="11">
        <f>IF('Hareket Girişi'!E37&gt;0,'Hareket Girişi'!A37,"")</f>
        <v/>
      </c>
      <c r="B35">
        <f>IF($A35="", "", 'Hareket Girişi'!B37)</f>
        <v/>
      </c>
      <c r="C35">
        <f>IF($A35="", "", 'Hareket Girişi'!C37)</f>
        <v/>
      </c>
      <c r="D35" s="27">
        <f>IF($A35="", "", 'Hareket Girişi'!D37)</f>
        <v/>
      </c>
      <c r="E35" s="27">
        <f>IF($A35="", "", 'Hareket Girişi'!E37)</f>
        <v/>
      </c>
      <c r="F35" s="27">
        <f>IF($A35="", "", D35-E35)</f>
        <v/>
      </c>
    </row>
    <row r="36">
      <c r="A36" s="11">
        <f>IF('Hareket Girişi'!E38&gt;0,'Hareket Girişi'!A38,"")</f>
        <v/>
      </c>
      <c r="B36">
        <f>IF($A36="", "", 'Hareket Girişi'!B38)</f>
        <v/>
      </c>
      <c r="C36">
        <f>IF($A36="", "", 'Hareket Girişi'!C38)</f>
        <v/>
      </c>
      <c r="D36" s="27">
        <f>IF($A36="", "", 'Hareket Girişi'!D38)</f>
        <v/>
      </c>
      <c r="E36" s="27">
        <f>IF($A36="", "", 'Hareket Girişi'!E38)</f>
        <v/>
      </c>
      <c r="F36" s="27">
        <f>IF($A36="", "", D36-E36)</f>
        <v/>
      </c>
    </row>
    <row r="37">
      <c r="A37" s="11">
        <f>IF('Hareket Girişi'!E39&gt;0,'Hareket Girişi'!A39,"")</f>
        <v/>
      </c>
      <c r="B37">
        <f>IF($A37="", "", 'Hareket Girişi'!B39)</f>
        <v/>
      </c>
      <c r="C37">
        <f>IF($A37="", "", 'Hareket Girişi'!C39)</f>
        <v/>
      </c>
      <c r="D37" s="27">
        <f>IF($A37="", "", 'Hareket Girişi'!D39)</f>
        <v/>
      </c>
      <c r="E37" s="27">
        <f>IF($A37="", "", 'Hareket Girişi'!E39)</f>
        <v/>
      </c>
      <c r="F37" s="27">
        <f>IF($A37="", "", D37-E37)</f>
        <v/>
      </c>
    </row>
    <row r="38">
      <c r="A38" s="11">
        <f>IF('Hareket Girişi'!E40&gt;0,'Hareket Girişi'!A40,"")</f>
        <v/>
      </c>
      <c r="B38">
        <f>IF($A38="", "", 'Hareket Girişi'!B40)</f>
        <v/>
      </c>
      <c r="C38">
        <f>IF($A38="", "", 'Hareket Girişi'!C40)</f>
        <v/>
      </c>
      <c r="D38" s="27">
        <f>IF($A38="", "", 'Hareket Girişi'!D40)</f>
        <v/>
      </c>
      <c r="E38" s="27">
        <f>IF($A38="", "", 'Hareket Girişi'!E40)</f>
        <v/>
      </c>
      <c r="F38" s="27">
        <f>IF($A38="", "", D38-E38)</f>
        <v/>
      </c>
    </row>
    <row r="39">
      <c r="A39" s="11">
        <f>IF('Hareket Girişi'!E41&gt;0,'Hareket Girişi'!A41,"")</f>
        <v/>
      </c>
      <c r="B39">
        <f>IF($A39="", "", 'Hareket Girişi'!B41)</f>
        <v/>
      </c>
      <c r="C39">
        <f>IF($A39="", "", 'Hareket Girişi'!C41)</f>
        <v/>
      </c>
      <c r="D39" s="27">
        <f>IF($A39="", "", 'Hareket Girişi'!D41)</f>
        <v/>
      </c>
      <c r="E39" s="27">
        <f>IF($A39="", "", 'Hareket Girişi'!E41)</f>
        <v/>
      </c>
      <c r="F39" s="27">
        <f>IF($A39="", "", D39-E39)</f>
        <v/>
      </c>
    </row>
    <row r="40">
      <c r="A40" s="11">
        <f>IF('Hareket Girişi'!E42&gt;0,'Hareket Girişi'!A42,"")</f>
        <v/>
      </c>
      <c r="B40">
        <f>IF($A40="", "", 'Hareket Girişi'!B42)</f>
        <v/>
      </c>
      <c r="C40">
        <f>IF($A40="", "", 'Hareket Girişi'!C42)</f>
        <v/>
      </c>
      <c r="D40" s="27">
        <f>IF($A40="", "", 'Hareket Girişi'!D42)</f>
        <v/>
      </c>
      <c r="E40" s="27">
        <f>IF($A40="", "", 'Hareket Girişi'!E42)</f>
        <v/>
      </c>
      <c r="F40" s="27">
        <f>IF($A40="", "", D40-E40)</f>
        <v/>
      </c>
    </row>
    <row r="41">
      <c r="A41" s="11">
        <f>IF('Hareket Girişi'!E43&gt;0,'Hareket Girişi'!A43,"")</f>
        <v/>
      </c>
      <c r="B41">
        <f>IF($A41="", "", 'Hareket Girişi'!B43)</f>
        <v/>
      </c>
      <c r="C41">
        <f>IF($A41="", "", 'Hareket Girişi'!C43)</f>
        <v/>
      </c>
      <c r="D41" s="27">
        <f>IF($A41="", "", 'Hareket Girişi'!D43)</f>
        <v/>
      </c>
      <c r="E41" s="27">
        <f>IF($A41="", "", 'Hareket Girişi'!E43)</f>
        <v/>
      </c>
      <c r="F41" s="27">
        <f>IF($A41="", "", D41-E41)</f>
        <v/>
      </c>
    </row>
    <row r="42">
      <c r="A42" s="11">
        <f>IF('Hareket Girişi'!E44&gt;0,'Hareket Girişi'!A44,"")</f>
        <v/>
      </c>
      <c r="B42">
        <f>IF($A42="", "", 'Hareket Girişi'!B44)</f>
        <v/>
      </c>
      <c r="C42">
        <f>IF($A42="", "", 'Hareket Girişi'!C44)</f>
        <v/>
      </c>
      <c r="D42" s="27">
        <f>IF($A42="", "", 'Hareket Girişi'!D44)</f>
        <v/>
      </c>
      <c r="E42" s="27">
        <f>IF($A42="", "", 'Hareket Girişi'!E44)</f>
        <v/>
      </c>
      <c r="F42" s="27">
        <f>IF($A42="", "", D42-E42)</f>
        <v/>
      </c>
    </row>
    <row r="43">
      <c r="A43" s="11">
        <f>IF('Hareket Girişi'!E45&gt;0,'Hareket Girişi'!A45,"")</f>
        <v/>
      </c>
      <c r="B43">
        <f>IF($A43="", "", 'Hareket Girişi'!B45)</f>
        <v/>
      </c>
      <c r="C43">
        <f>IF($A43="", "", 'Hareket Girişi'!C45)</f>
        <v/>
      </c>
      <c r="D43" s="27">
        <f>IF($A43="", "", 'Hareket Girişi'!D45)</f>
        <v/>
      </c>
      <c r="E43" s="27">
        <f>IF($A43="", "", 'Hareket Girişi'!E45)</f>
        <v/>
      </c>
      <c r="F43" s="27">
        <f>IF($A43="", "", D43-E43)</f>
        <v/>
      </c>
    </row>
    <row r="44">
      <c r="A44" s="11">
        <f>IF('Hareket Girişi'!E46&gt;0,'Hareket Girişi'!A46,"")</f>
        <v/>
      </c>
      <c r="B44">
        <f>IF($A44="", "", 'Hareket Girişi'!B46)</f>
        <v/>
      </c>
      <c r="C44">
        <f>IF($A44="", "", 'Hareket Girişi'!C46)</f>
        <v/>
      </c>
      <c r="D44" s="27">
        <f>IF($A44="", "", 'Hareket Girişi'!D46)</f>
        <v/>
      </c>
      <c r="E44" s="27">
        <f>IF($A44="", "", 'Hareket Girişi'!E46)</f>
        <v/>
      </c>
      <c r="F44" s="27">
        <f>IF($A44="", "", D44-E44)</f>
        <v/>
      </c>
    </row>
    <row r="45">
      <c r="A45" s="11">
        <f>IF('Hareket Girişi'!E47&gt;0,'Hareket Girişi'!A47,"")</f>
        <v/>
      </c>
      <c r="B45">
        <f>IF($A45="", "", 'Hareket Girişi'!B47)</f>
        <v/>
      </c>
      <c r="C45">
        <f>IF($A45="", "", 'Hareket Girişi'!C47)</f>
        <v/>
      </c>
      <c r="D45" s="27">
        <f>IF($A45="", "", 'Hareket Girişi'!D47)</f>
        <v/>
      </c>
      <c r="E45" s="27">
        <f>IF($A45="", "", 'Hareket Girişi'!E47)</f>
        <v/>
      </c>
      <c r="F45" s="27">
        <f>IF($A45="", "", D45-E45)</f>
        <v/>
      </c>
    </row>
    <row r="46">
      <c r="A46" s="11">
        <f>IF('Hareket Girişi'!E48&gt;0,'Hareket Girişi'!A48,"")</f>
        <v/>
      </c>
      <c r="B46">
        <f>IF($A46="", "", 'Hareket Girişi'!B48)</f>
        <v/>
      </c>
      <c r="C46">
        <f>IF($A46="", "", 'Hareket Girişi'!C48)</f>
        <v/>
      </c>
      <c r="D46" s="27">
        <f>IF($A46="", "", 'Hareket Girişi'!D48)</f>
        <v/>
      </c>
      <c r="E46" s="27">
        <f>IF($A46="", "", 'Hareket Girişi'!E48)</f>
        <v/>
      </c>
      <c r="F46" s="27">
        <f>IF($A46="", "", D46-E46)</f>
        <v/>
      </c>
    </row>
    <row r="47">
      <c r="A47" s="11">
        <f>IF('Hareket Girişi'!E49&gt;0,'Hareket Girişi'!A49,"")</f>
        <v/>
      </c>
      <c r="B47">
        <f>IF($A47="", "", 'Hareket Girişi'!B49)</f>
        <v/>
      </c>
      <c r="C47">
        <f>IF($A47="", "", 'Hareket Girişi'!C49)</f>
        <v/>
      </c>
      <c r="D47" s="27">
        <f>IF($A47="", "", 'Hareket Girişi'!D49)</f>
        <v/>
      </c>
      <c r="E47" s="27">
        <f>IF($A47="", "", 'Hareket Girişi'!E49)</f>
        <v/>
      </c>
      <c r="F47" s="27">
        <f>IF($A47="", "", D47-E47)</f>
        <v/>
      </c>
    </row>
    <row r="48">
      <c r="A48" s="11">
        <f>IF('Hareket Girişi'!E50&gt;0,'Hareket Girişi'!A50,"")</f>
        <v/>
      </c>
      <c r="B48">
        <f>IF($A48="", "", 'Hareket Girişi'!B50)</f>
        <v/>
      </c>
      <c r="C48">
        <f>IF($A48="", "", 'Hareket Girişi'!C50)</f>
        <v/>
      </c>
      <c r="D48" s="27">
        <f>IF($A48="", "", 'Hareket Girişi'!D50)</f>
        <v/>
      </c>
      <c r="E48" s="27">
        <f>IF($A48="", "", 'Hareket Girişi'!E50)</f>
        <v/>
      </c>
      <c r="F48" s="27">
        <f>IF($A48="", "", D48-E48)</f>
        <v/>
      </c>
    </row>
    <row r="49">
      <c r="A49" s="11">
        <f>IF('Hareket Girişi'!E51&gt;0,'Hareket Girişi'!A51,"")</f>
        <v/>
      </c>
      <c r="B49">
        <f>IF($A49="", "", 'Hareket Girişi'!B51)</f>
        <v/>
      </c>
      <c r="C49">
        <f>IF($A49="", "", 'Hareket Girişi'!C51)</f>
        <v/>
      </c>
      <c r="D49" s="27">
        <f>IF($A49="", "", 'Hareket Girişi'!D51)</f>
        <v/>
      </c>
      <c r="E49" s="27">
        <f>IF($A49="", "", 'Hareket Girişi'!E51)</f>
        <v/>
      </c>
      <c r="F49" s="27">
        <f>IF($A49="", "", D49-E49)</f>
        <v/>
      </c>
    </row>
    <row r="50">
      <c r="A50" s="11">
        <f>IF('Hareket Girişi'!E52&gt;0,'Hareket Girişi'!A52,"")</f>
        <v/>
      </c>
      <c r="B50">
        <f>IF($A50="", "", 'Hareket Girişi'!B52)</f>
        <v/>
      </c>
      <c r="C50">
        <f>IF($A50="", "", 'Hareket Girişi'!C52)</f>
        <v/>
      </c>
      <c r="D50" s="27">
        <f>IF($A50="", "", 'Hareket Girişi'!D52)</f>
        <v/>
      </c>
      <c r="E50" s="27">
        <f>IF($A50="", "", 'Hareket Girişi'!E52)</f>
        <v/>
      </c>
      <c r="F50" s="27">
        <f>IF($A50="", "", D50-E50)</f>
        <v/>
      </c>
    </row>
    <row r="51">
      <c r="A51" s="11">
        <f>IF('Hareket Girişi'!E53&gt;0,'Hareket Girişi'!A53,"")</f>
        <v/>
      </c>
      <c r="B51">
        <f>IF($A51="", "", 'Hareket Girişi'!B53)</f>
        <v/>
      </c>
      <c r="C51">
        <f>IF($A51="", "", 'Hareket Girişi'!C53)</f>
        <v/>
      </c>
      <c r="D51" s="27">
        <f>IF($A51="", "", 'Hareket Girişi'!D53)</f>
        <v/>
      </c>
      <c r="E51" s="27">
        <f>IF($A51="", "", 'Hareket Girişi'!E53)</f>
        <v/>
      </c>
      <c r="F51" s="27">
        <f>IF($A51="", "", D51-E51)</f>
        <v/>
      </c>
    </row>
    <row r="52">
      <c r="A52" s="11">
        <f>IF('Hareket Girişi'!E54&gt;0,'Hareket Girişi'!A54,"")</f>
        <v/>
      </c>
      <c r="B52">
        <f>IF($A52="", "", 'Hareket Girişi'!B54)</f>
        <v/>
      </c>
      <c r="C52">
        <f>IF($A52="", "", 'Hareket Girişi'!C54)</f>
        <v/>
      </c>
      <c r="D52" s="27">
        <f>IF($A52="", "", 'Hareket Girişi'!D54)</f>
        <v/>
      </c>
      <c r="E52" s="27">
        <f>IF($A52="", "", 'Hareket Girişi'!E54)</f>
        <v/>
      </c>
      <c r="F52" s="27">
        <f>IF($A52="", "", D52-E52)</f>
        <v/>
      </c>
    </row>
    <row r="53">
      <c r="A53" s="11">
        <f>IF('Hareket Girişi'!E55&gt;0,'Hareket Girişi'!A55,"")</f>
        <v/>
      </c>
      <c r="B53">
        <f>IF($A53="", "", 'Hareket Girişi'!B55)</f>
        <v/>
      </c>
      <c r="C53">
        <f>IF($A53="", "", 'Hareket Girişi'!C55)</f>
        <v/>
      </c>
      <c r="D53" s="27">
        <f>IF($A53="", "", 'Hareket Girişi'!D55)</f>
        <v/>
      </c>
      <c r="E53" s="27">
        <f>IF($A53="", "", 'Hareket Girişi'!E55)</f>
        <v/>
      </c>
      <c r="F53" s="27">
        <f>IF($A53="", "", D53-E53)</f>
        <v/>
      </c>
    </row>
    <row r="54">
      <c r="A54" s="11">
        <f>IF('Hareket Girişi'!E56&gt;0,'Hareket Girişi'!A56,"")</f>
        <v/>
      </c>
      <c r="B54">
        <f>IF($A54="", "", 'Hareket Girişi'!B56)</f>
        <v/>
      </c>
      <c r="C54">
        <f>IF($A54="", "", 'Hareket Girişi'!C56)</f>
        <v/>
      </c>
      <c r="D54" s="27">
        <f>IF($A54="", "", 'Hareket Girişi'!D56)</f>
        <v/>
      </c>
      <c r="E54" s="27">
        <f>IF($A54="", "", 'Hareket Girişi'!E56)</f>
        <v/>
      </c>
      <c r="F54" s="27">
        <f>IF($A54="", "", D54-E54)</f>
        <v/>
      </c>
    </row>
    <row r="55">
      <c r="A55" s="11">
        <f>IF('Hareket Girişi'!E57&gt;0,'Hareket Girişi'!A57,"")</f>
        <v/>
      </c>
      <c r="B55">
        <f>IF($A55="", "", 'Hareket Girişi'!B57)</f>
        <v/>
      </c>
      <c r="C55">
        <f>IF($A55="", "", 'Hareket Girişi'!C57)</f>
        <v/>
      </c>
      <c r="D55" s="27">
        <f>IF($A55="", "", 'Hareket Girişi'!D57)</f>
        <v/>
      </c>
      <c r="E55" s="27">
        <f>IF($A55="", "", 'Hareket Girişi'!E57)</f>
        <v/>
      </c>
      <c r="F55" s="27">
        <f>IF($A55="", "", D55-E55)</f>
        <v/>
      </c>
    </row>
    <row r="56">
      <c r="A56" s="11">
        <f>IF('Hareket Girişi'!E58&gt;0,'Hareket Girişi'!A58,"")</f>
        <v/>
      </c>
      <c r="B56">
        <f>IF($A56="", "", 'Hareket Girişi'!B58)</f>
        <v/>
      </c>
      <c r="C56">
        <f>IF($A56="", "", 'Hareket Girişi'!C58)</f>
        <v/>
      </c>
      <c r="D56" s="27">
        <f>IF($A56="", "", 'Hareket Girişi'!D58)</f>
        <v/>
      </c>
      <c r="E56" s="27">
        <f>IF($A56="", "", 'Hareket Girişi'!E58)</f>
        <v/>
      </c>
      <c r="F56" s="27">
        <f>IF($A56="", "", D56-E56)</f>
        <v/>
      </c>
    </row>
    <row r="57">
      <c r="A57" s="11">
        <f>IF('Hareket Girişi'!E59&gt;0,'Hareket Girişi'!A59,"")</f>
        <v/>
      </c>
      <c r="B57">
        <f>IF($A57="", "", 'Hareket Girişi'!B59)</f>
        <v/>
      </c>
      <c r="C57">
        <f>IF($A57="", "", 'Hareket Girişi'!C59)</f>
        <v/>
      </c>
      <c r="D57" s="27">
        <f>IF($A57="", "", 'Hareket Girişi'!D59)</f>
        <v/>
      </c>
      <c r="E57" s="27">
        <f>IF($A57="", "", 'Hareket Girişi'!E59)</f>
        <v/>
      </c>
      <c r="F57" s="27">
        <f>IF($A57="", "", D57-E57)</f>
        <v/>
      </c>
    </row>
    <row r="58">
      <c r="A58" s="11">
        <f>IF('Hareket Girişi'!E60&gt;0,'Hareket Girişi'!A60,"")</f>
        <v/>
      </c>
      <c r="B58">
        <f>IF($A58="", "", 'Hareket Girişi'!B60)</f>
        <v/>
      </c>
      <c r="C58">
        <f>IF($A58="", "", 'Hareket Girişi'!C60)</f>
        <v/>
      </c>
      <c r="D58" s="27">
        <f>IF($A58="", "", 'Hareket Girişi'!D60)</f>
        <v/>
      </c>
      <c r="E58" s="27">
        <f>IF($A58="", "", 'Hareket Girişi'!E60)</f>
        <v/>
      </c>
      <c r="F58" s="27">
        <f>IF($A58="", "", D58-E58)</f>
        <v/>
      </c>
    </row>
    <row r="59">
      <c r="A59" s="11">
        <f>IF('Hareket Girişi'!E61&gt;0,'Hareket Girişi'!A61,"")</f>
        <v/>
      </c>
      <c r="B59">
        <f>IF($A59="", "", 'Hareket Girişi'!B61)</f>
        <v/>
      </c>
      <c r="C59">
        <f>IF($A59="", "", 'Hareket Girişi'!C61)</f>
        <v/>
      </c>
      <c r="D59" s="27">
        <f>IF($A59="", "", 'Hareket Girişi'!D61)</f>
        <v/>
      </c>
      <c r="E59" s="27">
        <f>IF($A59="", "", 'Hareket Girişi'!E61)</f>
        <v/>
      </c>
      <c r="F59" s="27">
        <f>IF($A59="", "", D59-E59)</f>
        <v/>
      </c>
    </row>
    <row r="60">
      <c r="A60" s="11">
        <f>IF('Hareket Girişi'!E62&gt;0,'Hareket Girişi'!A62,"")</f>
        <v/>
      </c>
      <c r="B60">
        <f>IF($A60="", "", 'Hareket Girişi'!B62)</f>
        <v/>
      </c>
      <c r="C60">
        <f>IF($A60="", "", 'Hareket Girişi'!C62)</f>
        <v/>
      </c>
      <c r="D60" s="27">
        <f>IF($A60="", "", 'Hareket Girişi'!D62)</f>
        <v/>
      </c>
      <c r="E60" s="27">
        <f>IF($A60="", "", 'Hareket Girişi'!E62)</f>
        <v/>
      </c>
      <c r="F60" s="27">
        <f>IF($A60="", "", D60-E60)</f>
        <v/>
      </c>
    </row>
    <row r="61">
      <c r="A61" s="11">
        <f>IF('Hareket Girişi'!E63&gt;0,'Hareket Girişi'!A63,"")</f>
        <v/>
      </c>
      <c r="B61">
        <f>IF($A61="", "", 'Hareket Girişi'!B63)</f>
        <v/>
      </c>
      <c r="C61">
        <f>IF($A61="", "", 'Hareket Girişi'!C63)</f>
        <v/>
      </c>
      <c r="D61" s="27">
        <f>IF($A61="", "", 'Hareket Girişi'!D63)</f>
        <v/>
      </c>
      <c r="E61" s="27">
        <f>IF($A61="", "", 'Hareket Girişi'!E63)</f>
        <v/>
      </c>
      <c r="F61" s="27">
        <f>IF($A61="", "", D61-E61)</f>
        <v/>
      </c>
    </row>
    <row r="62">
      <c r="A62" s="11">
        <f>IF('Hareket Girişi'!E64&gt;0,'Hareket Girişi'!A64,"")</f>
        <v/>
      </c>
      <c r="B62">
        <f>IF($A62="", "", 'Hareket Girişi'!B64)</f>
        <v/>
      </c>
      <c r="C62">
        <f>IF($A62="", "", 'Hareket Girişi'!C64)</f>
        <v/>
      </c>
      <c r="D62" s="27">
        <f>IF($A62="", "", 'Hareket Girişi'!D64)</f>
        <v/>
      </c>
      <c r="E62" s="27">
        <f>IF($A62="", "", 'Hareket Girişi'!E64)</f>
        <v/>
      </c>
      <c r="F62" s="27">
        <f>IF($A62="", "", D62-E62)</f>
        <v/>
      </c>
    </row>
    <row r="63">
      <c r="A63" s="11">
        <f>IF('Hareket Girişi'!E65&gt;0,'Hareket Girişi'!A65,"")</f>
        <v/>
      </c>
      <c r="B63">
        <f>IF($A63="", "", 'Hareket Girişi'!B65)</f>
        <v/>
      </c>
      <c r="C63">
        <f>IF($A63="", "", 'Hareket Girişi'!C65)</f>
        <v/>
      </c>
      <c r="D63" s="27">
        <f>IF($A63="", "", 'Hareket Girişi'!D65)</f>
        <v/>
      </c>
      <c r="E63" s="27">
        <f>IF($A63="", "", 'Hareket Girişi'!E65)</f>
        <v/>
      </c>
      <c r="F63" s="27">
        <f>IF($A63="", "", D63-E63)</f>
        <v/>
      </c>
    </row>
    <row r="64">
      <c r="A64" s="11">
        <f>IF('Hareket Girişi'!E66&gt;0,'Hareket Girişi'!A66,"")</f>
        <v/>
      </c>
      <c r="B64">
        <f>IF($A64="", "", 'Hareket Girişi'!B66)</f>
        <v/>
      </c>
      <c r="C64">
        <f>IF($A64="", "", 'Hareket Girişi'!C66)</f>
        <v/>
      </c>
      <c r="D64" s="27">
        <f>IF($A64="", "", 'Hareket Girişi'!D66)</f>
        <v/>
      </c>
      <c r="E64" s="27">
        <f>IF($A64="", "", 'Hareket Girişi'!E66)</f>
        <v/>
      </c>
      <c r="F64" s="27">
        <f>IF($A64="", "", D64-E64)</f>
        <v/>
      </c>
    </row>
    <row r="65">
      <c r="A65" s="11">
        <f>IF('Hareket Girişi'!E67&gt;0,'Hareket Girişi'!A67,"")</f>
        <v/>
      </c>
      <c r="B65">
        <f>IF($A65="", "", 'Hareket Girişi'!B67)</f>
        <v/>
      </c>
      <c r="C65">
        <f>IF($A65="", "", 'Hareket Girişi'!C67)</f>
        <v/>
      </c>
      <c r="D65" s="27">
        <f>IF($A65="", "", 'Hareket Girişi'!D67)</f>
        <v/>
      </c>
      <c r="E65" s="27">
        <f>IF($A65="", "", 'Hareket Girişi'!E67)</f>
        <v/>
      </c>
      <c r="F65" s="27">
        <f>IF($A65="", "", D65-E65)</f>
        <v/>
      </c>
    </row>
    <row r="66">
      <c r="A66" s="11">
        <f>IF('Hareket Girişi'!E68&gt;0,'Hareket Girişi'!A68,"")</f>
        <v/>
      </c>
      <c r="B66">
        <f>IF($A66="", "", 'Hareket Girişi'!B68)</f>
        <v/>
      </c>
      <c r="C66">
        <f>IF($A66="", "", 'Hareket Girişi'!C68)</f>
        <v/>
      </c>
      <c r="D66" s="27">
        <f>IF($A66="", "", 'Hareket Girişi'!D68)</f>
        <v/>
      </c>
      <c r="E66" s="27">
        <f>IF($A66="", "", 'Hareket Girişi'!E68)</f>
        <v/>
      </c>
      <c r="F66" s="27">
        <f>IF($A66="", "", D66-E66)</f>
        <v/>
      </c>
    </row>
    <row r="67">
      <c r="A67" s="11">
        <f>IF('Hareket Girişi'!E69&gt;0,'Hareket Girişi'!A69,"")</f>
        <v/>
      </c>
      <c r="B67">
        <f>IF($A67="", "", 'Hareket Girişi'!B69)</f>
        <v/>
      </c>
      <c r="C67">
        <f>IF($A67="", "", 'Hareket Girişi'!C69)</f>
        <v/>
      </c>
      <c r="D67" s="27">
        <f>IF($A67="", "", 'Hareket Girişi'!D69)</f>
        <v/>
      </c>
      <c r="E67" s="27">
        <f>IF($A67="", "", 'Hareket Girişi'!E69)</f>
        <v/>
      </c>
      <c r="F67" s="27">
        <f>IF($A67="", "", D67-E67)</f>
        <v/>
      </c>
    </row>
    <row r="68">
      <c r="A68" s="11">
        <f>IF('Hareket Girişi'!E70&gt;0,'Hareket Girişi'!A70,"")</f>
        <v/>
      </c>
      <c r="B68">
        <f>IF($A68="", "", 'Hareket Girişi'!B70)</f>
        <v/>
      </c>
      <c r="C68">
        <f>IF($A68="", "", 'Hareket Girişi'!C70)</f>
        <v/>
      </c>
      <c r="D68" s="27">
        <f>IF($A68="", "", 'Hareket Girişi'!D70)</f>
        <v/>
      </c>
      <c r="E68" s="27">
        <f>IF($A68="", "", 'Hareket Girişi'!E70)</f>
        <v/>
      </c>
      <c r="F68" s="27">
        <f>IF($A68="", "", D68-E68)</f>
        <v/>
      </c>
    </row>
    <row r="69">
      <c r="A69" s="11">
        <f>IF('Hareket Girişi'!E71&gt;0,'Hareket Girişi'!A71,"")</f>
        <v/>
      </c>
      <c r="B69">
        <f>IF($A69="", "", 'Hareket Girişi'!B71)</f>
        <v/>
      </c>
      <c r="C69">
        <f>IF($A69="", "", 'Hareket Girişi'!C71)</f>
        <v/>
      </c>
      <c r="D69" s="27">
        <f>IF($A69="", "", 'Hareket Girişi'!D71)</f>
        <v/>
      </c>
      <c r="E69" s="27">
        <f>IF($A69="", "", 'Hareket Girişi'!E71)</f>
        <v/>
      </c>
      <c r="F69" s="27">
        <f>IF($A69="", "", D69-E69)</f>
        <v/>
      </c>
    </row>
    <row r="70">
      <c r="A70" s="11">
        <f>IF('Hareket Girişi'!E72&gt;0,'Hareket Girişi'!A72,"")</f>
        <v/>
      </c>
      <c r="B70">
        <f>IF($A70="", "", 'Hareket Girişi'!B72)</f>
        <v/>
      </c>
      <c r="C70">
        <f>IF($A70="", "", 'Hareket Girişi'!C72)</f>
        <v/>
      </c>
      <c r="D70" s="27">
        <f>IF($A70="", "", 'Hareket Girişi'!D72)</f>
        <v/>
      </c>
      <c r="E70" s="27">
        <f>IF($A70="", "", 'Hareket Girişi'!E72)</f>
        <v/>
      </c>
      <c r="F70" s="27">
        <f>IF($A70="", "", D70-E70)</f>
        <v/>
      </c>
    </row>
    <row r="71">
      <c r="A71" s="11">
        <f>IF('Hareket Girişi'!E73&gt;0,'Hareket Girişi'!A73,"")</f>
        <v/>
      </c>
      <c r="B71">
        <f>IF($A71="", "", 'Hareket Girişi'!B73)</f>
        <v/>
      </c>
      <c r="C71">
        <f>IF($A71="", "", 'Hareket Girişi'!C73)</f>
        <v/>
      </c>
      <c r="D71" s="27">
        <f>IF($A71="", "", 'Hareket Girişi'!D73)</f>
        <v/>
      </c>
      <c r="E71" s="27">
        <f>IF($A71="", "", 'Hareket Girişi'!E73)</f>
        <v/>
      </c>
      <c r="F71" s="27">
        <f>IF($A71="", "", D71-E71)</f>
        <v/>
      </c>
    </row>
    <row r="72">
      <c r="A72" s="11">
        <f>IF('Hareket Girişi'!E74&gt;0,'Hareket Girişi'!A74,"")</f>
        <v/>
      </c>
      <c r="B72">
        <f>IF($A72="", "", 'Hareket Girişi'!B74)</f>
        <v/>
      </c>
      <c r="C72">
        <f>IF($A72="", "", 'Hareket Girişi'!C74)</f>
        <v/>
      </c>
      <c r="D72" s="27">
        <f>IF($A72="", "", 'Hareket Girişi'!D74)</f>
        <v/>
      </c>
      <c r="E72" s="27">
        <f>IF($A72="", "", 'Hareket Girişi'!E74)</f>
        <v/>
      </c>
      <c r="F72" s="27">
        <f>IF($A72="", "", D72-E72)</f>
        <v/>
      </c>
    </row>
    <row r="73">
      <c r="A73" s="11">
        <f>IF('Hareket Girişi'!E75&gt;0,'Hareket Girişi'!A75,"")</f>
        <v/>
      </c>
      <c r="B73">
        <f>IF($A73="", "", 'Hareket Girişi'!B75)</f>
        <v/>
      </c>
      <c r="C73">
        <f>IF($A73="", "", 'Hareket Girişi'!C75)</f>
        <v/>
      </c>
      <c r="D73" s="27">
        <f>IF($A73="", "", 'Hareket Girişi'!D75)</f>
        <v/>
      </c>
      <c r="E73" s="27">
        <f>IF($A73="", "", 'Hareket Girişi'!E75)</f>
        <v/>
      </c>
      <c r="F73" s="27">
        <f>IF($A73="", "", D73-E73)</f>
        <v/>
      </c>
    </row>
    <row r="74">
      <c r="A74" s="11">
        <f>IF('Hareket Girişi'!E76&gt;0,'Hareket Girişi'!A76,"")</f>
        <v/>
      </c>
      <c r="B74">
        <f>IF($A74="", "", 'Hareket Girişi'!B76)</f>
        <v/>
      </c>
      <c r="C74">
        <f>IF($A74="", "", 'Hareket Girişi'!C76)</f>
        <v/>
      </c>
      <c r="D74" s="27">
        <f>IF($A74="", "", 'Hareket Girişi'!D76)</f>
        <v/>
      </c>
      <c r="E74" s="27">
        <f>IF($A74="", "", 'Hareket Girişi'!E76)</f>
        <v/>
      </c>
      <c r="F74" s="27">
        <f>IF($A74="", "", D74-E74)</f>
        <v/>
      </c>
    </row>
    <row r="75">
      <c r="A75" s="11">
        <f>IF('Hareket Girişi'!E77&gt;0,'Hareket Girişi'!A77,"")</f>
        <v/>
      </c>
      <c r="B75">
        <f>IF($A75="", "", 'Hareket Girişi'!B77)</f>
        <v/>
      </c>
      <c r="C75">
        <f>IF($A75="", "", 'Hareket Girişi'!C77)</f>
        <v/>
      </c>
      <c r="D75" s="27">
        <f>IF($A75="", "", 'Hareket Girişi'!D77)</f>
        <v/>
      </c>
      <c r="E75" s="27">
        <f>IF($A75="", "", 'Hareket Girişi'!E77)</f>
        <v/>
      </c>
      <c r="F75" s="27">
        <f>IF($A75="", "", D75-E75)</f>
        <v/>
      </c>
    </row>
    <row r="76">
      <c r="A76" s="11">
        <f>IF('Hareket Girişi'!E78&gt;0,'Hareket Girişi'!A78,"")</f>
        <v/>
      </c>
      <c r="B76">
        <f>IF($A76="", "", 'Hareket Girişi'!B78)</f>
        <v/>
      </c>
      <c r="C76">
        <f>IF($A76="", "", 'Hareket Girişi'!C78)</f>
        <v/>
      </c>
      <c r="D76" s="27">
        <f>IF($A76="", "", 'Hareket Girişi'!D78)</f>
        <v/>
      </c>
      <c r="E76" s="27">
        <f>IF($A76="", "", 'Hareket Girişi'!E78)</f>
        <v/>
      </c>
      <c r="F76" s="27">
        <f>IF($A76="", "", D76-E76)</f>
        <v/>
      </c>
    </row>
    <row r="77">
      <c r="A77" s="11">
        <f>IF('Hareket Girişi'!E79&gt;0,'Hareket Girişi'!A79,"")</f>
        <v/>
      </c>
      <c r="B77">
        <f>IF($A77="", "", 'Hareket Girişi'!B79)</f>
        <v/>
      </c>
      <c r="C77">
        <f>IF($A77="", "", 'Hareket Girişi'!C79)</f>
        <v/>
      </c>
      <c r="D77" s="27">
        <f>IF($A77="", "", 'Hareket Girişi'!D79)</f>
        <v/>
      </c>
      <c r="E77" s="27">
        <f>IF($A77="", "", 'Hareket Girişi'!E79)</f>
        <v/>
      </c>
      <c r="F77" s="27">
        <f>IF($A77="", "", D77-E77)</f>
        <v/>
      </c>
    </row>
    <row r="78">
      <c r="A78" s="11">
        <f>IF('Hareket Girişi'!E80&gt;0,'Hareket Girişi'!A80,"")</f>
        <v/>
      </c>
      <c r="B78">
        <f>IF($A78="", "", 'Hareket Girişi'!B80)</f>
        <v/>
      </c>
      <c r="C78">
        <f>IF($A78="", "", 'Hareket Girişi'!C80)</f>
        <v/>
      </c>
      <c r="D78" s="27">
        <f>IF($A78="", "", 'Hareket Girişi'!D80)</f>
        <v/>
      </c>
      <c r="E78" s="27">
        <f>IF($A78="", "", 'Hareket Girişi'!E80)</f>
        <v/>
      </c>
      <c r="F78" s="27">
        <f>IF($A78="", "", D78-E78)</f>
        <v/>
      </c>
    </row>
    <row r="79">
      <c r="A79" s="11">
        <f>IF('Hareket Girişi'!E81&gt;0,'Hareket Girişi'!A81,"")</f>
        <v/>
      </c>
      <c r="B79">
        <f>IF($A79="", "", 'Hareket Girişi'!B81)</f>
        <v/>
      </c>
      <c r="C79">
        <f>IF($A79="", "", 'Hareket Girişi'!C81)</f>
        <v/>
      </c>
      <c r="D79" s="27">
        <f>IF($A79="", "", 'Hareket Girişi'!D81)</f>
        <v/>
      </c>
      <c r="E79" s="27">
        <f>IF($A79="", "", 'Hareket Girişi'!E81)</f>
        <v/>
      </c>
      <c r="F79" s="27">
        <f>IF($A79="", "", D79-E79)</f>
        <v/>
      </c>
    </row>
    <row r="80">
      <c r="A80" s="11">
        <f>IF('Hareket Girişi'!E82&gt;0,'Hareket Girişi'!A82,"")</f>
        <v/>
      </c>
      <c r="B80">
        <f>IF($A80="", "", 'Hareket Girişi'!B82)</f>
        <v/>
      </c>
      <c r="C80">
        <f>IF($A80="", "", 'Hareket Girişi'!C82)</f>
        <v/>
      </c>
      <c r="D80" s="27">
        <f>IF($A80="", "", 'Hareket Girişi'!D82)</f>
        <v/>
      </c>
      <c r="E80" s="27">
        <f>IF($A80="", "", 'Hareket Girişi'!E82)</f>
        <v/>
      </c>
      <c r="F80" s="27">
        <f>IF($A80="", "", D80-E80)</f>
        <v/>
      </c>
    </row>
    <row r="81">
      <c r="A81" s="11">
        <f>IF('Hareket Girişi'!E83&gt;0,'Hareket Girişi'!A83,"")</f>
        <v/>
      </c>
      <c r="B81">
        <f>IF($A81="", "", 'Hareket Girişi'!B83)</f>
        <v/>
      </c>
      <c r="C81">
        <f>IF($A81="", "", 'Hareket Girişi'!C83)</f>
        <v/>
      </c>
      <c r="D81" s="27">
        <f>IF($A81="", "", 'Hareket Girişi'!D83)</f>
        <v/>
      </c>
      <c r="E81" s="27">
        <f>IF($A81="", "", 'Hareket Girişi'!E83)</f>
        <v/>
      </c>
      <c r="F81" s="27">
        <f>IF($A81="", "", D81-E81)</f>
        <v/>
      </c>
    </row>
    <row r="82">
      <c r="A82" s="11">
        <f>IF('Hareket Girişi'!E84&gt;0,'Hareket Girişi'!A84,"")</f>
        <v/>
      </c>
      <c r="B82">
        <f>IF($A82="", "", 'Hareket Girişi'!B84)</f>
        <v/>
      </c>
      <c r="C82">
        <f>IF($A82="", "", 'Hareket Girişi'!C84)</f>
        <v/>
      </c>
      <c r="D82" s="27">
        <f>IF($A82="", "", 'Hareket Girişi'!D84)</f>
        <v/>
      </c>
      <c r="E82" s="27">
        <f>IF($A82="", "", 'Hareket Girişi'!E84)</f>
        <v/>
      </c>
      <c r="F82" s="27">
        <f>IF($A82="", "", D82-E82)</f>
        <v/>
      </c>
    </row>
    <row r="83">
      <c r="A83" s="11">
        <f>IF('Hareket Girişi'!E85&gt;0,'Hareket Girişi'!A85,"")</f>
        <v/>
      </c>
      <c r="B83">
        <f>IF($A83="", "", 'Hareket Girişi'!B85)</f>
        <v/>
      </c>
      <c r="C83">
        <f>IF($A83="", "", 'Hareket Girişi'!C85)</f>
        <v/>
      </c>
      <c r="D83" s="27">
        <f>IF($A83="", "", 'Hareket Girişi'!D85)</f>
        <v/>
      </c>
      <c r="E83" s="27">
        <f>IF($A83="", "", 'Hareket Girişi'!E85)</f>
        <v/>
      </c>
      <c r="F83" s="27">
        <f>IF($A83="", "", D83-E83)</f>
        <v/>
      </c>
    </row>
    <row r="84">
      <c r="A84" s="11">
        <f>IF('Hareket Girişi'!E86&gt;0,'Hareket Girişi'!A86,"")</f>
        <v/>
      </c>
      <c r="B84">
        <f>IF($A84="", "", 'Hareket Girişi'!B86)</f>
        <v/>
      </c>
      <c r="C84">
        <f>IF($A84="", "", 'Hareket Girişi'!C86)</f>
        <v/>
      </c>
      <c r="D84" s="27">
        <f>IF($A84="", "", 'Hareket Girişi'!D86)</f>
        <v/>
      </c>
      <c r="E84" s="27">
        <f>IF($A84="", "", 'Hareket Girişi'!E86)</f>
        <v/>
      </c>
      <c r="F84" s="27">
        <f>IF($A84="", "", D84-E84)</f>
        <v/>
      </c>
    </row>
    <row r="85">
      <c r="A85" s="11">
        <f>IF('Hareket Girişi'!E87&gt;0,'Hareket Girişi'!A87,"")</f>
        <v/>
      </c>
      <c r="B85">
        <f>IF($A85="", "", 'Hareket Girişi'!B87)</f>
        <v/>
      </c>
      <c r="C85">
        <f>IF($A85="", "", 'Hareket Girişi'!C87)</f>
        <v/>
      </c>
      <c r="D85" s="27">
        <f>IF($A85="", "", 'Hareket Girişi'!D87)</f>
        <v/>
      </c>
      <c r="E85" s="27">
        <f>IF($A85="", "", 'Hareket Girişi'!E87)</f>
        <v/>
      </c>
      <c r="F85" s="27">
        <f>IF($A85="", "", D85-E85)</f>
        <v/>
      </c>
    </row>
    <row r="86">
      <c r="A86" s="11">
        <f>IF('Hareket Girişi'!E88&gt;0,'Hareket Girişi'!A88,"")</f>
        <v/>
      </c>
      <c r="B86">
        <f>IF($A86="", "", 'Hareket Girişi'!B88)</f>
        <v/>
      </c>
      <c r="C86">
        <f>IF($A86="", "", 'Hareket Girişi'!C88)</f>
        <v/>
      </c>
      <c r="D86" s="27">
        <f>IF($A86="", "", 'Hareket Girişi'!D88)</f>
        <v/>
      </c>
      <c r="E86" s="27">
        <f>IF($A86="", "", 'Hareket Girişi'!E88)</f>
        <v/>
      </c>
      <c r="F86" s="27">
        <f>IF($A86="", "", D86-E86)</f>
        <v/>
      </c>
    </row>
    <row r="87">
      <c r="A87" s="11">
        <f>IF('Hareket Girişi'!E89&gt;0,'Hareket Girişi'!A89,"")</f>
        <v/>
      </c>
      <c r="B87">
        <f>IF($A87="", "", 'Hareket Girişi'!B89)</f>
        <v/>
      </c>
      <c r="C87">
        <f>IF($A87="", "", 'Hareket Girişi'!C89)</f>
        <v/>
      </c>
      <c r="D87" s="27">
        <f>IF($A87="", "", 'Hareket Girişi'!D89)</f>
        <v/>
      </c>
      <c r="E87" s="27">
        <f>IF($A87="", "", 'Hareket Girişi'!E89)</f>
        <v/>
      </c>
      <c r="F87" s="27">
        <f>IF($A87="", "", D87-E87)</f>
        <v/>
      </c>
    </row>
    <row r="88">
      <c r="A88" s="11">
        <f>IF('Hareket Girişi'!E90&gt;0,'Hareket Girişi'!A90,"")</f>
        <v/>
      </c>
      <c r="B88">
        <f>IF($A88="", "", 'Hareket Girişi'!B90)</f>
        <v/>
      </c>
      <c r="C88">
        <f>IF($A88="", "", 'Hareket Girişi'!C90)</f>
        <v/>
      </c>
      <c r="D88" s="27">
        <f>IF($A88="", "", 'Hareket Girişi'!D90)</f>
        <v/>
      </c>
      <c r="E88" s="27">
        <f>IF($A88="", "", 'Hareket Girişi'!E90)</f>
        <v/>
      </c>
      <c r="F88" s="27">
        <f>IF($A88="", "", D88-E88)</f>
        <v/>
      </c>
    </row>
    <row r="89">
      <c r="A89" s="11">
        <f>IF('Hareket Girişi'!E91&gt;0,'Hareket Girişi'!A91,"")</f>
        <v/>
      </c>
      <c r="B89">
        <f>IF($A89="", "", 'Hareket Girişi'!B91)</f>
        <v/>
      </c>
      <c r="C89">
        <f>IF($A89="", "", 'Hareket Girişi'!C91)</f>
        <v/>
      </c>
      <c r="D89" s="27">
        <f>IF($A89="", "", 'Hareket Girişi'!D91)</f>
        <v/>
      </c>
      <c r="E89" s="27">
        <f>IF($A89="", "", 'Hareket Girişi'!E91)</f>
        <v/>
      </c>
      <c r="F89" s="27">
        <f>IF($A89="", "", D89-E89)</f>
        <v/>
      </c>
    </row>
    <row r="90">
      <c r="A90" s="11">
        <f>IF('Hareket Girişi'!E92&gt;0,'Hareket Girişi'!A92,"")</f>
        <v/>
      </c>
      <c r="B90">
        <f>IF($A90="", "", 'Hareket Girişi'!B92)</f>
        <v/>
      </c>
      <c r="C90">
        <f>IF($A90="", "", 'Hareket Girişi'!C92)</f>
        <v/>
      </c>
      <c r="D90" s="27">
        <f>IF($A90="", "", 'Hareket Girişi'!D92)</f>
        <v/>
      </c>
      <c r="E90" s="27">
        <f>IF($A90="", "", 'Hareket Girişi'!E92)</f>
        <v/>
      </c>
      <c r="F90" s="27">
        <f>IF($A90="", "", D90-E90)</f>
        <v/>
      </c>
    </row>
    <row r="91">
      <c r="A91" s="11">
        <f>IF('Hareket Girişi'!E93&gt;0,'Hareket Girişi'!A93,"")</f>
        <v/>
      </c>
      <c r="B91">
        <f>IF($A91="", "", 'Hareket Girişi'!B93)</f>
        <v/>
      </c>
      <c r="C91">
        <f>IF($A91="", "", 'Hareket Girişi'!C93)</f>
        <v/>
      </c>
      <c r="D91" s="27">
        <f>IF($A91="", "", 'Hareket Girişi'!D93)</f>
        <v/>
      </c>
      <c r="E91" s="27">
        <f>IF($A91="", "", 'Hareket Girişi'!E93)</f>
        <v/>
      </c>
      <c r="F91" s="27">
        <f>IF($A91="", "", D91-E91)</f>
        <v/>
      </c>
    </row>
    <row r="92">
      <c r="A92" s="11">
        <f>IF('Hareket Girişi'!E94&gt;0,'Hareket Girişi'!A94,"")</f>
        <v/>
      </c>
      <c r="B92">
        <f>IF($A92="", "", 'Hareket Girişi'!B94)</f>
        <v/>
      </c>
      <c r="C92">
        <f>IF($A92="", "", 'Hareket Girişi'!C94)</f>
        <v/>
      </c>
      <c r="D92" s="27">
        <f>IF($A92="", "", 'Hareket Girişi'!D94)</f>
        <v/>
      </c>
      <c r="E92" s="27">
        <f>IF($A92="", "", 'Hareket Girişi'!E94)</f>
        <v/>
      </c>
      <c r="F92" s="27">
        <f>IF($A92="", "", D92-E92)</f>
        <v/>
      </c>
    </row>
    <row r="93">
      <c r="A93" s="11">
        <f>IF('Hareket Girişi'!E95&gt;0,'Hareket Girişi'!A95,"")</f>
        <v/>
      </c>
      <c r="B93">
        <f>IF($A93="", "", 'Hareket Girişi'!B95)</f>
        <v/>
      </c>
      <c r="C93">
        <f>IF($A93="", "", 'Hareket Girişi'!C95)</f>
        <v/>
      </c>
      <c r="D93" s="27">
        <f>IF($A93="", "", 'Hareket Girişi'!D95)</f>
        <v/>
      </c>
      <c r="E93" s="27">
        <f>IF($A93="", "", 'Hareket Girişi'!E95)</f>
        <v/>
      </c>
      <c r="F93" s="27">
        <f>IF($A93="", "", D93-E93)</f>
        <v/>
      </c>
    </row>
    <row r="94">
      <c r="A94" s="11">
        <f>IF('Hareket Girişi'!E96&gt;0,'Hareket Girişi'!A96,"")</f>
        <v/>
      </c>
      <c r="B94">
        <f>IF($A94="", "", 'Hareket Girişi'!B96)</f>
        <v/>
      </c>
      <c r="C94">
        <f>IF($A94="", "", 'Hareket Girişi'!C96)</f>
        <v/>
      </c>
      <c r="D94" s="27">
        <f>IF($A94="", "", 'Hareket Girişi'!D96)</f>
        <v/>
      </c>
      <c r="E94" s="27">
        <f>IF($A94="", "", 'Hareket Girişi'!E96)</f>
        <v/>
      </c>
      <c r="F94" s="27">
        <f>IF($A94="", "", D94-E94)</f>
        <v/>
      </c>
    </row>
    <row r="95">
      <c r="A95" s="11">
        <f>IF('Hareket Girişi'!E97&gt;0,'Hareket Girişi'!A97,"")</f>
        <v/>
      </c>
      <c r="B95">
        <f>IF($A95="", "", 'Hareket Girişi'!B97)</f>
        <v/>
      </c>
      <c r="C95">
        <f>IF($A95="", "", 'Hareket Girişi'!C97)</f>
        <v/>
      </c>
      <c r="D95" s="27">
        <f>IF($A95="", "", 'Hareket Girişi'!D97)</f>
        <v/>
      </c>
      <c r="E95" s="27">
        <f>IF($A95="", "", 'Hareket Girişi'!E97)</f>
        <v/>
      </c>
      <c r="F95" s="27">
        <f>IF($A95="", "", D95-E95)</f>
        <v/>
      </c>
    </row>
    <row r="96">
      <c r="A96" s="11">
        <f>IF('Hareket Girişi'!E98&gt;0,'Hareket Girişi'!A98,"")</f>
        <v/>
      </c>
      <c r="B96">
        <f>IF($A96="", "", 'Hareket Girişi'!B98)</f>
        <v/>
      </c>
      <c r="C96">
        <f>IF($A96="", "", 'Hareket Girişi'!C98)</f>
        <v/>
      </c>
      <c r="D96" s="27">
        <f>IF($A96="", "", 'Hareket Girişi'!D98)</f>
        <v/>
      </c>
      <c r="E96" s="27">
        <f>IF($A96="", "", 'Hareket Girişi'!E98)</f>
        <v/>
      </c>
      <c r="F96" s="27">
        <f>IF($A96="", "", D96-E96)</f>
        <v/>
      </c>
    </row>
    <row r="97">
      <c r="A97" s="11">
        <f>IF('Hareket Girişi'!E99&gt;0,'Hareket Girişi'!A99,"")</f>
        <v/>
      </c>
      <c r="B97">
        <f>IF($A97="", "", 'Hareket Girişi'!B99)</f>
        <v/>
      </c>
      <c r="C97">
        <f>IF($A97="", "", 'Hareket Girişi'!C99)</f>
        <v/>
      </c>
      <c r="D97" s="27">
        <f>IF($A97="", "", 'Hareket Girişi'!D99)</f>
        <v/>
      </c>
      <c r="E97" s="27">
        <f>IF($A97="", "", 'Hareket Girişi'!E99)</f>
        <v/>
      </c>
      <c r="F97" s="27">
        <f>IF($A97="", "", D97-E97)</f>
        <v/>
      </c>
    </row>
    <row r="98">
      <c r="A98" s="11">
        <f>IF('Hareket Girişi'!E100&gt;0,'Hareket Girişi'!A100,"")</f>
        <v/>
      </c>
      <c r="B98">
        <f>IF($A98="", "", 'Hareket Girişi'!B100)</f>
        <v/>
      </c>
      <c r="C98">
        <f>IF($A98="", "", 'Hareket Girişi'!C100)</f>
        <v/>
      </c>
      <c r="D98" s="27">
        <f>IF($A98="", "", 'Hareket Girişi'!D100)</f>
        <v/>
      </c>
      <c r="E98" s="27">
        <f>IF($A98="", "", 'Hareket Girişi'!E100)</f>
        <v/>
      </c>
      <c r="F98" s="27">
        <f>IF($A98="", "", D98-E98)</f>
        <v/>
      </c>
    </row>
    <row r="99">
      <c r="A99" s="11">
        <f>IF('Hareket Girişi'!E101&gt;0,'Hareket Girişi'!A101,"")</f>
        <v/>
      </c>
      <c r="B99">
        <f>IF($A99="", "", 'Hareket Girişi'!B101)</f>
        <v/>
      </c>
      <c r="C99">
        <f>IF($A99="", "", 'Hareket Girişi'!C101)</f>
        <v/>
      </c>
      <c r="D99" s="27">
        <f>IF($A99="", "", 'Hareket Girişi'!D101)</f>
        <v/>
      </c>
      <c r="E99" s="27">
        <f>IF($A99="", "", 'Hareket Girişi'!E101)</f>
        <v/>
      </c>
      <c r="F99" s="27">
        <f>IF($A99="", "", D99-E99)</f>
        <v/>
      </c>
    </row>
    <row r="100">
      <c r="A100" s="11">
        <f>IF('Hareket Girişi'!E102&gt;0,'Hareket Girişi'!A102,"")</f>
        <v/>
      </c>
      <c r="B100">
        <f>IF($A100="", "", 'Hareket Girişi'!B102)</f>
        <v/>
      </c>
      <c r="C100">
        <f>IF($A100="", "", 'Hareket Girişi'!C102)</f>
        <v/>
      </c>
      <c r="D100" s="27">
        <f>IF($A100="", "", 'Hareket Girişi'!D102)</f>
        <v/>
      </c>
      <c r="E100" s="27">
        <f>IF($A100="", "", 'Hareket Girişi'!E102)</f>
        <v/>
      </c>
      <c r="F100" s="27">
        <f>IF($A100="", "", D100-E100)</f>
        <v/>
      </c>
    </row>
    <row r="101">
      <c r="A101" s="11">
        <f>IF('Hareket Girişi'!E103&gt;0,'Hareket Girişi'!A103,"")</f>
        <v/>
      </c>
      <c r="B101">
        <f>IF($A101="", "", 'Hareket Girişi'!B103)</f>
        <v/>
      </c>
      <c r="C101">
        <f>IF($A101="", "", 'Hareket Girişi'!C103)</f>
        <v/>
      </c>
      <c r="D101" s="27">
        <f>IF($A101="", "", 'Hareket Girişi'!D103)</f>
        <v/>
      </c>
      <c r="E101" s="27">
        <f>IF($A101="", "", 'Hareket Girişi'!E103)</f>
        <v/>
      </c>
      <c r="F101" s="27">
        <f>IF($A101="", "", D101-E101)</f>
        <v/>
      </c>
    </row>
    <row r="102">
      <c r="A102" s="11">
        <f>IF('Hareket Girişi'!E104&gt;0,'Hareket Girişi'!A104,"")</f>
        <v/>
      </c>
      <c r="B102">
        <f>IF($A102="", "", 'Hareket Girişi'!B104)</f>
        <v/>
      </c>
      <c r="C102">
        <f>IF($A102="", "", 'Hareket Girişi'!C104)</f>
        <v/>
      </c>
      <c r="D102" s="27">
        <f>IF($A102="", "", 'Hareket Girişi'!D104)</f>
        <v/>
      </c>
      <c r="E102" s="27">
        <f>IF($A102="", "", 'Hareket Girişi'!E104)</f>
        <v/>
      </c>
      <c r="F102" s="27">
        <f>IF($A102="", "", D102-E102)</f>
        <v/>
      </c>
    </row>
    <row r="103">
      <c r="A103" s="11">
        <f>IF('Hareket Girişi'!E105&gt;0,'Hareket Girişi'!A105,"")</f>
        <v/>
      </c>
      <c r="B103">
        <f>IF($A103="", "", 'Hareket Girişi'!B105)</f>
        <v/>
      </c>
      <c r="C103">
        <f>IF($A103="", "", 'Hareket Girişi'!C105)</f>
        <v/>
      </c>
      <c r="D103" s="27">
        <f>IF($A103="", "", 'Hareket Girişi'!D105)</f>
        <v/>
      </c>
      <c r="E103" s="27">
        <f>IF($A103="", "", 'Hareket Girişi'!E105)</f>
        <v/>
      </c>
      <c r="F103" s="27">
        <f>IF($A103="", "", D103-E103)</f>
        <v/>
      </c>
    </row>
    <row r="104">
      <c r="A104" s="11">
        <f>IF('Hareket Girişi'!E106&gt;0,'Hareket Girişi'!A106,"")</f>
        <v/>
      </c>
      <c r="B104">
        <f>IF($A104="", "", 'Hareket Girişi'!B106)</f>
        <v/>
      </c>
      <c r="C104">
        <f>IF($A104="", "", 'Hareket Girişi'!C106)</f>
        <v/>
      </c>
      <c r="D104" s="27">
        <f>IF($A104="", "", 'Hareket Girişi'!D106)</f>
        <v/>
      </c>
      <c r="E104" s="27">
        <f>IF($A104="", "", 'Hareket Girişi'!E106)</f>
        <v/>
      </c>
      <c r="F104" s="27">
        <f>IF($A104="", "", D104-E104)</f>
        <v/>
      </c>
    </row>
    <row r="105">
      <c r="A105" s="11">
        <f>IF('Hareket Girişi'!E107&gt;0,'Hareket Girişi'!A107,"")</f>
        <v/>
      </c>
      <c r="B105">
        <f>IF($A105="", "", 'Hareket Girişi'!B107)</f>
        <v/>
      </c>
      <c r="C105">
        <f>IF($A105="", "", 'Hareket Girişi'!C107)</f>
        <v/>
      </c>
      <c r="D105" s="27">
        <f>IF($A105="", "", 'Hareket Girişi'!D107)</f>
        <v/>
      </c>
      <c r="E105" s="27">
        <f>IF($A105="", "", 'Hareket Girişi'!E107)</f>
        <v/>
      </c>
      <c r="F105" s="27">
        <f>IF($A105="", "", D105-E105)</f>
        <v/>
      </c>
    </row>
    <row r="106">
      <c r="A106" s="11">
        <f>IF('Hareket Girişi'!E108&gt;0,'Hareket Girişi'!A108,"")</f>
        <v/>
      </c>
      <c r="B106">
        <f>IF($A106="", "", 'Hareket Girişi'!B108)</f>
        <v/>
      </c>
      <c r="C106">
        <f>IF($A106="", "", 'Hareket Girişi'!C108)</f>
        <v/>
      </c>
      <c r="D106" s="27">
        <f>IF($A106="", "", 'Hareket Girişi'!D108)</f>
        <v/>
      </c>
      <c r="E106" s="27">
        <f>IF($A106="", "", 'Hareket Girişi'!E108)</f>
        <v/>
      </c>
      <c r="F106" s="27">
        <f>IF($A106="", "", D106-E106)</f>
        <v/>
      </c>
    </row>
    <row r="107">
      <c r="A107" s="11">
        <f>IF('Hareket Girişi'!E109&gt;0,'Hareket Girişi'!A109,"")</f>
        <v/>
      </c>
      <c r="B107">
        <f>IF($A107="", "", 'Hareket Girişi'!B109)</f>
        <v/>
      </c>
      <c r="C107">
        <f>IF($A107="", "", 'Hareket Girişi'!C109)</f>
        <v/>
      </c>
      <c r="D107" s="27">
        <f>IF($A107="", "", 'Hareket Girişi'!D109)</f>
        <v/>
      </c>
      <c r="E107" s="27">
        <f>IF($A107="", "", 'Hareket Girişi'!E109)</f>
        <v/>
      </c>
      <c r="F107" s="27">
        <f>IF($A107="", "", D107-E107)</f>
        <v/>
      </c>
    </row>
    <row r="108">
      <c r="A108" s="11">
        <f>IF('Hareket Girişi'!E110&gt;0,'Hareket Girişi'!A110,"")</f>
        <v/>
      </c>
      <c r="B108">
        <f>IF($A108="", "", 'Hareket Girişi'!B110)</f>
        <v/>
      </c>
      <c r="C108">
        <f>IF($A108="", "", 'Hareket Girişi'!C110)</f>
        <v/>
      </c>
      <c r="D108" s="27">
        <f>IF($A108="", "", 'Hareket Girişi'!D110)</f>
        <v/>
      </c>
      <c r="E108" s="27">
        <f>IF($A108="", "", 'Hareket Girişi'!E110)</f>
        <v/>
      </c>
      <c r="F108" s="27">
        <f>IF($A108="", "", D108-E108)</f>
        <v/>
      </c>
    </row>
    <row r="109">
      <c r="A109" s="11">
        <f>IF('Hareket Girişi'!E111&gt;0,'Hareket Girişi'!A111,"")</f>
        <v/>
      </c>
      <c r="B109">
        <f>IF($A109="", "", 'Hareket Girişi'!B111)</f>
        <v/>
      </c>
      <c r="C109">
        <f>IF($A109="", "", 'Hareket Girişi'!C111)</f>
        <v/>
      </c>
      <c r="D109" s="27">
        <f>IF($A109="", "", 'Hareket Girişi'!D111)</f>
        <v/>
      </c>
      <c r="E109" s="27">
        <f>IF($A109="", "", 'Hareket Girişi'!E111)</f>
        <v/>
      </c>
      <c r="F109" s="27">
        <f>IF($A109="", "", D109-E109)</f>
        <v/>
      </c>
    </row>
    <row r="110">
      <c r="A110" s="11">
        <f>IF('Hareket Girişi'!E112&gt;0,'Hareket Girişi'!A112,"")</f>
        <v/>
      </c>
      <c r="B110">
        <f>IF($A110="", "", 'Hareket Girişi'!B112)</f>
        <v/>
      </c>
      <c r="C110">
        <f>IF($A110="", "", 'Hareket Girişi'!C112)</f>
        <v/>
      </c>
      <c r="D110" s="27">
        <f>IF($A110="", "", 'Hareket Girişi'!D112)</f>
        <v/>
      </c>
      <c r="E110" s="27">
        <f>IF($A110="", "", 'Hareket Girişi'!E112)</f>
        <v/>
      </c>
      <c r="F110" s="27">
        <f>IF($A110="", "", D110-E110)</f>
        <v/>
      </c>
    </row>
    <row r="111">
      <c r="A111" s="11">
        <f>IF('Hareket Girişi'!E113&gt;0,'Hareket Girişi'!A113,"")</f>
        <v/>
      </c>
      <c r="B111">
        <f>IF($A111="", "", 'Hareket Girişi'!B113)</f>
        <v/>
      </c>
      <c r="C111">
        <f>IF($A111="", "", 'Hareket Girişi'!C113)</f>
        <v/>
      </c>
      <c r="D111" s="27">
        <f>IF($A111="", "", 'Hareket Girişi'!D113)</f>
        <v/>
      </c>
      <c r="E111" s="27">
        <f>IF($A111="", "", 'Hareket Girişi'!E113)</f>
        <v/>
      </c>
      <c r="F111" s="27">
        <f>IF($A111="", "", D111-E111)</f>
        <v/>
      </c>
    </row>
    <row r="112">
      <c r="A112" s="11">
        <f>IF('Hareket Girişi'!E114&gt;0,'Hareket Girişi'!A114,"")</f>
        <v/>
      </c>
      <c r="B112">
        <f>IF($A112="", "", 'Hareket Girişi'!B114)</f>
        <v/>
      </c>
      <c r="C112">
        <f>IF($A112="", "", 'Hareket Girişi'!C114)</f>
        <v/>
      </c>
      <c r="D112" s="27">
        <f>IF($A112="", "", 'Hareket Girişi'!D114)</f>
        <v/>
      </c>
      <c r="E112" s="27">
        <f>IF($A112="", "", 'Hareket Girişi'!E114)</f>
        <v/>
      </c>
      <c r="F112" s="27">
        <f>IF($A112="", "", D112-E112)</f>
        <v/>
      </c>
    </row>
    <row r="113">
      <c r="A113" s="11">
        <f>IF('Hareket Girişi'!E115&gt;0,'Hareket Girişi'!A115,"")</f>
        <v/>
      </c>
      <c r="B113">
        <f>IF($A113="", "", 'Hareket Girişi'!B115)</f>
        <v/>
      </c>
      <c r="C113">
        <f>IF($A113="", "", 'Hareket Girişi'!C115)</f>
        <v/>
      </c>
      <c r="D113" s="27">
        <f>IF($A113="", "", 'Hareket Girişi'!D115)</f>
        <v/>
      </c>
      <c r="E113" s="27">
        <f>IF($A113="", "", 'Hareket Girişi'!E115)</f>
        <v/>
      </c>
      <c r="F113" s="27">
        <f>IF($A113="", "", D113-E113)</f>
        <v/>
      </c>
    </row>
    <row r="114">
      <c r="A114" s="11">
        <f>IF('Hareket Girişi'!E116&gt;0,'Hareket Girişi'!A116,"")</f>
        <v/>
      </c>
      <c r="B114">
        <f>IF($A114="", "", 'Hareket Girişi'!B116)</f>
        <v/>
      </c>
      <c r="C114">
        <f>IF($A114="", "", 'Hareket Girişi'!C116)</f>
        <v/>
      </c>
      <c r="D114" s="27">
        <f>IF($A114="", "", 'Hareket Girişi'!D116)</f>
        <v/>
      </c>
      <c r="E114" s="27">
        <f>IF($A114="", "", 'Hareket Girişi'!E116)</f>
        <v/>
      </c>
      <c r="F114" s="27">
        <f>IF($A114="", "", D114-E114)</f>
        <v/>
      </c>
    </row>
    <row r="115">
      <c r="A115" s="11">
        <f>IF('Hareket Girişi'!E117&gt;0,'Hareket Girişi'!A117,"")</f>
        <v/>
      </c>
      <c r="B115">
        <f>IF($A115="", "", 'Hareket Girişi'!B117)</f>
        <v/>
      </c>
      <c r="C115">
        <f>IF($A115="", "", 'Hareket Girişi'!C117)</f>
        <v/>
      </c>
      <c r="D115" s="27">
        <f>IF($A115="", "", 'Hareket Girişi'!D117)</f>
        <v/>
      </c>
      <c r="E115" s="27">
        <f>IF($A115="", "", 'Hareket Girişi'!E117)</f>
        <v/>
      </c>
      <c r="F115" s="27">
        <f>IF($A115="", "", D115-E115)</f>
        <v/>
      </c>
    </row>
    <row r="116">
      <c r="A116" s="11">
        <f>IF('Hareket Girişi'!E118&gt;0,'Hareket Girişi'!A118,"")</f>
        <v/>
      </c>
      <c r="B116">
        <f>IF($A116="", "", 'Hareket Girişi'!B118)</f>
        <v/>
      </c>
      <c r="C116">
        <f>IF($A116="", "", 'Hareket Girişi'!C118)</f>
        <v/>
      </c>
      <c r="D116" s="27">
        <f>IF($A116="", "", 'Hareket Girişi'!D118)</f>
        <v/>
      </c>
      <c r="E116" s="27">
        <f>IF($A116="", "", 'Hareket Girişi'!E118)</f>
        <v/>
      </c>
      <c r="F116" s="27">
        <f>IF($A116="", "", D116-E116)</f>
        <v/>
      </c>
    </row>
    <row r="117">
      <c r="A117" s="11">
        <f>IF('Hareket Girişi'!E119&gt;0,'Hareket Girişi'!A119,"")</f>
        <v/>
      </c>
      <c r="B117">
        <f>IF($A117="", "", 'Hareket Girişi'!B119)</f>
        <v/>
      </c>
      <c r="C117">
        <f>IF($A117="", "", 'Hareket Girişi'!C119)</f>
        <v/>
      </c>
      <c r="D117" s="27">
        <f>IF($A117="", "", 'Hareket Girişi'!D119)</f>
        <v/>
      </c>
      <c r="E117" s="27">
        <f>IF($A117="", "", 'Hareket Girişi'!E119)</f>
        <v/>
      </c>
      <c r="F117" s="27">
        <f>IF($A117="", "", D117-E117)</f>
        <v/>
      </c>
    </row>
    <row r="118">
      <c r="A118" s="11">
        <f>IF('Hareket Girişi'!E120&gt;0,'Hareket Girişi'!A120,"")</f>
        <v/>
      </c>
      <c r="B118">
        <f>IF($A118="", "", 'Hareket Girişi'!B120)</f>
        <v/>
      </c>
      <c r="C118">
        <f>IF($A118="", "", 'Hareket Girişi'!C120)</f>
        <v/>
      </c>
      <c r="D118" s="27">
        <f>IF($A118="", "", 'Hareket Girişi'!D120)</f>
        <v/>
      </c>
      <c r="E118" s="27">
        <f>IF($A118="", "", 'Hareket Girişi'!E120)</f>
        <v/>
      </c>
      <c r="F118" s="27">
        <f>IF($A118="", "", D118-E118)</f>
        <v/>
      </c>
    </row>
    <row r="119">
      <c r="A119" s="11">
        <f>IF('Hareket Girişi'!E121&gt;0,'Hareket Girişi'!A121,"")</f>
        <v/>
      </c>
      <c r="B119">
        <f>IF($A119="", "", 'Hareket Girişi'!B121)</f>
        <v/>
      </c>
      <c r="C119">
        <f>IF($A119="", "", 'Hareket Girişi'!C121)</f>
        <v/>
      </c>
      <c r="D119" s="27">
        <f>IF($A119="", "", 'Hareket Girişi'!D121)</f>
        <v/>
      </c>
      <c r="E119" s="27">
        <f>IF($A119="", "", 'Hareket Girişi'!E121)</f>
        <v/>
      </c>
      <c r="F119" s="27">
        <f>IF($A119="", "", D119-E119)</f>
        <v/>
      </c>
    </row>
    <row r="120">
      <c r="A120" s="11">
        <f>IF('Hareket Girişi'!E122&gt;0,'Hareket Girişi'!A122,"")</f>
        <v/>
      </c>
      <c r="B120">
        <f>IF($A120="", "", 'Hareket Girişi'!B122)</f>
        <v/>
      </c>
      <c r="C120">
        <f>IF($A120="", "", 'Hareket Girişi'!C122)</f>
        <v/>
      </c>
      <c r="D120" s="27">
        <f>IF($A120="", "", 'Hareket Girişi'!D122)</f>
        <v/>
      </c>
      <c r="E120" s="27">
        <f>IF($A120="", "", 'Hareket Girişi'!E122)</f>
        <v/>
      </c>
      <c r="F120" s="27">
        <f>IF($A120="", "", D120-E120)</f>
        <v/>
      </c>
    </row>
    <row r="121">
      <c r="A121" s="11">
        <f>IF('Hareket Girişi'!E123&gt;0,'Hareket Girişi'!A123,"")</f>
        <v/>
      </c>
      <c r="B121">
        <f>IF($A121="", "", 'Hareket Girişi'!B123)</f>
        <v/>
      </c>
      <c r="C121">
        <f>IF($A121="", "", 'Hareket Girişi'!C123)</f>
        <v/>
      </c>
      <c r="D121" s="27">
        <f>IF($A121="", "", 'Hareket Girişi'!D123)</f>
        <v/>
      </c>
      <c r="E121" s="27">
        <f>IF($A121="", "", 'Hareket Girişi'!E123)</f>
        <v/>
      </c>
      <c r="F121" s="27">
        <f>IF($A121="", "", D121-E121)</f>
        <v/>
      </c>
    </row>
    <row r="122">
      <c r="A122" s="11">
        <f>IF('Hareket Girişi'!E124&gt;0,'Hareket Girişi'!A124,"")</f>
        <v/>
      </c>
      <c r="B122">
        <f>IF($A122="", "", 'Hareket Girişi'!B124)</f>
        <v/>
      </c>
      <c r="C122">
        <f>IF($A122="", "", 'Hareket Girişi'!C124)</f>
        <v/>
      </c>
      <c r="D122" s="27">
        <f>IF($A122="", "", 'Hareket Girişi'!D124)</f>
        <v/>
      </c>
      <c r="E122" s="27">
        <f>IF($A122="", "", 'Hareket Girişi'!E124)</f>
        <v/>
      </c>
      <c r="F122" s="27">
        <f>IF($A122="", "", D122-E122)</f>
        <v/>
      </c>
    </row>
    <row r="123">
      <c r="A123" s="11">
        <f>IF('Hareket Girişi'!E125&gt;0,'Hareket Girişi'!A125,"")</f>
        <v/>
      </c>
      <c r="B123">
        <f>IF($A123="", "", 'Hareket Girişi'!B125)</f>
        <v/>
      </c>
      <c r="C123">
        <f>IF($A123="", "", 'Hareket Girişi'!C125)</f>
        <v/>
      </c>
      <c r="D123" s="27">
        <f>IF($A123="", "", 'Hareket Girişi'!D125)</f>
        <v/>
      </c>
      <c r="E123" s="27">
        <f>IF($A123="", "", 'Hareket Girişi'!E125)</f>
        <v/>
      </c>
      <c r="F123" s="27">
        <f>IF($A123="", "", D123-E123)</f>
        <v/>
      </c>
    </row>
    <row r="124">
      <c r="A124" s="11">
        <f>IF('Hareket Girişi'!E126&gt;0,'Hareket Girişi'!A126,"")</f>
        <v/>
      </c>
      <c r="B124">
        <f>IF($A124="", "", 'Hareket Girişi'!B126)</f>
        <v/>
      </c>
      <c r="C124">
        <f>IF($A124="", "", 'Hareket Girişi'!C126)</f>
        <v/>
      </c>
      <c r="D124" s="27">
        <f>IF($A124="", "", 'Hareket Girişi'!D126)</f>
        <v/>
      </c>
      <c r="E124" s="27">
        <f>IF($A124="", "", 'Hareket Girişi'!E126)</f>
        <v/>
      </c>
      <c r="F124" s="27">
        <f>IF($A124="", "", D124-E124)</f>
        <v/>
      </c>
    </row>
    <row r="125">
      <c r="A125" s="11">
        <f>IF('Hareket Girişi'!E127&gt;0,'Hareket Girişi'!A127,"")</f>
        <v/>
      </c>
      <c r="B125">
        <f>IF($A125="", "", 'Hareket Girişi'!B127)</f>
        <v/>
      </c>
      <c r="C125">
        <f>IF($A125="", "", 'Hareket Girişi'!C127)</f>
        <v/>
      </c>
      <c r="D125" s="27">
        <f>IF($A125="", "", 'Hareket Girişi'!D127)</f>
        <v/>
      </c>
      <c r="E125" s="27">
        <f>IF($A125="", "", 'Hareket Girişi'!E127)</f>
        <v/>
      </c>
      <c r="F125" s="27">
        <f>IF($A125="", "", D125-E125)</f>
        <v/>
      </c>
    </row>
    <row r="126">
      <c r="A126" s="11">
        <f>IF('Hareket Girişi'!E128&gt;0,'Hareket Girişi'!A128,"")</f>
        <v/>
      </c>
      <c r="B126">
        <f>IF($A126="", "", 'Hareket Girişi'!B128)</f>
        <v/>
      </c>
      <c r="C126">
        <f>IF($A126="", "", 'Hareket Girişi'!C128)</f>
        <v/>
      </c>
      <c r="D126" s="27">
        <f>IF($A126="", "", 'Hareket Girişi'!D128)</f>
        <v/>
      </c>
      <c r="E126" s="27">
        <f>IF($A126="", "", 'Hareket Girişi'!E128)</f>
        <v/>
      </c>
      <c r="F126" s="27">
        <f>IF($A126="", "", D126-E126)</f>
        <v/>
      </c>
    </row>
    <row r="127">
      <c r="A127" s="11">
        <f>IF('Hareket Girişi'!E129&gt;0,'Hareket Girişi'!A129,"")</f>
        <v/>
      </c>
      <c r="B127">
        <f>IF($A127="", "", 'Hareket Girişi'!B129)</f>
        <v/>
      </c>
      <c r="C127">
        <f>IF($A127="", "", 'Hareket Girişi'!C129)</f>
        <v/>
      </c>
      <c r="D127" s="27">
        <f>IF($A127="", "", 'Hareket Girişi'!D129)</f>
        <v/>
      </c>
      <c r="E127" s="27">
        <f>IF($A127="", "", 'Hareket Girişi'!E129)</f>
        <v/>
      </c>
      <c r="F127" s="27">
        <f>IF($A127="", "", D127-E127)</f>
        <v/>
      </c>
    </row>
    <row r="128">
      <c r="A128" s="11">
        <f>IF('Hareket Girişi'!E130&gt;0,'Hareket Girişi'!A130,"")</f>
        <v/>
      </c>
      <c r="B128">
        <f>IF($A128="", "", 'Hareket Girişi'!B130)</f>
        <v/>
      </c>
      <c r="C128">
        <f>IF($A128="", "", 'Hareket Girişi'!C130)</f>
        <v/>
      </c>
      <c r="D128" s="27">
        <f>IF($A128="", "", 'Hareket Girişi'!D130)</f>
        <v/>
      </c>
      <c r="E128" s="27">
        <f>IF($A128="", "", 'Hareket Girişi'!E130)</f>
        <v/>
      </c>
      <c r="F128" s="27">
        <f>IF($A128="", "", D128-E128)</f>
        <v/>
      </c>
    </row>
    <row r="129">
      <c r="A129" s="11">
        <f>IF('Hareket Girişi'!E131&gt;0,'Hareket Girişi'!A131,"")</f>
        <v/>
      </c>
      <c r="B129">
        <f>IF($A129="", "", 'Hareket Girişi'!B131)</f>
        <v/>
      </c>
      <c r="C129">
        <f>IF($A129="", "", 'Hareket Girişi'!C131)</f>
        <v/>
      </c>
      <c r="D129" s="27">
        <f>IF($A129="", "", 'Hareket Girişi'!D131)</f>
        <v/>
      </c>
      <c r="E129" s="27">
        <f>IF($A129="", "", 'Hareket Girişi'!E131)</f>
        <v/>
      </c>
      <c r="F129" s="27">
        <f>IF($A129="", "", D129-E129)</f>
        <v/>
      </c>
    </row>
    <row r="130">
      <c r="A130" s="11">
        <f>IF('Hareket Girişi'!E132&gt;0,'Hareket Girişi'!A132,"")</f>
        <v/>
      </c>
      <c r="B130">
        <f>IF($A130="", "", 'Hareket Girişi'!B132)</f>
        <v/>
      </c>
      <c r="C130">
        <f>IF($A130="", "", 'Hareket Girişi'!C132)</f>
        <v/>
      </c>
      <c r="D130" s="27">
        <f>IF($A130="", "", 'Hareket Girişi'!D132)</f>
        <v/>
      </c>
      <c r="E130" s="27">
        <f>IF($A130="", "", 'Hareket Girişi'!E132)</f>
        <v/>
      </c>
      <c r="F130" s="27">
        <f>IF($A130="", "", D130-E130)</f>
        <v/>
      </c>
    </row>
    <row r="131">
      <c r="A131" s="11">
        <f>IF('Hareket Girişi'!E133&gt;0,'Hareket Girişi'!A133,"")</f>
        <v/>
      </c>
      <c r="B131">
        <f>IF($A131="", "", 'Hareket Girişi'!B133)</f>
        <v/>
      </c>
      <c r="C131">
        <f>IF($A131="", "", 'Hareket Girişi'!C133)</f>
        <v/>
      </c>
      <c r="D131" s="27">
        <f>IF($A131="", "", 'Hareket Girişi'!D133)</f>
        <v/>
      </c>
      <c r="E131" s="27">
        <f>IF($A131="", "", 'Hareket Girişi'!E133)</f>
        <v/>
      </c>
      <c r="F131" s="27">
        <f>IF($A131="", "", D131-E131)</f>
        <v/>
      </c>
    </row>
    <row r="132">
      <c r="A132" s="11">
        <f>IF('Hareket Girişi'!E134&gt;0,'Hareket Girişi'!A134,"")</f>
        <v/>
      </c>
      <c r="B132">
        <f>IF($A132="", "", 'Hareket Girişi'!B134)</f>
        <v/>
      </c>
      <c r="C132">
        <f>IF($A132="", "", 'Hareket Girişi'!C134)</f>
        <v/>
      </c>
      <c r="D132" s="27">
        <f>IF($A132="", "", 'Hareket Girişi'!D134)</f>
        <v/>
      </c>
      <c r="E132" s="27">
        <f>IF($A132="", "", 'Hareket Girişi'!E134)</f>
        <v/>
      </c>
      <c r="F132" s="27">
        <f>IF($A132="", "", D132-E132)</f>
        <v/>
      </c>
    </row>
    <row r="133">
      <c r="A133" s="11">
        <f>IF('Hareket Girişi'!E135&gt;0,'Hareket Girişi'!A135,"")</f>
        <v/>
      </c>
      <c r="B133">
        <f>IF($A133="", "", 'Hareket Girişi'!B135)</f>
        <v/>
      </c>
      <c r="C133">
        <f>IF($A133="", "", 'Hareket Girişi'!C135)</f>
        <v/>
      </c>
      <c r="D133" s="27">
        <f>IF($A133="", "", 'Hareket Girişi'!D135)</f>
        <v/>
      </c>
      <c r="E133" s="27">
        <f>IF($A133="", "", 'Hareket Girişi'!E135)</f>
        <v/>
      </c>
      <c r="F133" s="27">
        <f>IF($A133="", "", D133-E133)</f>
        <v/>
      </c>
    </row>
    <row r="134">
      <c r="A134" s="11">
        <f>IF('Hareket Girişi'!E136&gt;0,'Hareket Girişi'!A136,"")</f>
        <v/>
      </c>
      <c r="B134">
        <f>IF($A134="", "", 'Hareket Girişi'!B136)</f>
        <v/>
      </c>
      <c r="C134">
        <f>IF($A134="", "", 'Hareket Girişi'!C136)</f>
        <v/>
      </c>
      <c r="D134" s="27">
        <f>IF($A134="", "", 'Hareket Girişi'!D136)</f>
        <v/>
      </c>
      <c r="E134" s="27">
        <f>IF($A134="", "", 'Hareket Girişi'!E136)</f>
        <v/>
      </c>
      <c r="F134" s="27">
        <f>IF($A134="", "", D134-E134)</f>
        <v/>
      </c>
    </row>
    <row r="135">
      <c r="A135" s="11">
        <f>IF('Hareket Girişi'!E137&gt;0,'Hareket Girişi'!A137,"")</f>
        <v/>
      </c>
      <c r="B135">
        <f>IF($A135="", "", 'Hareket Girişi'!B137)</f>
        <v/>
      </c>
      <c r="C135">
        <f>IF($A135="", "", 'Hareket Girişi'!C137)</f>
        <v/>
      </c>
      <c r="D135" s="27">
        <f>IF($A135="", "", 'Hareket Girişi'!D137)</f>
        <v/>
      </c>
      <c r="E135" s="27">
        <f>IF($A135="", "", 'Hareket Girişi'!E137)</f>
        <v/>
      </c>
      <c r="F135" s="27">
        <f>IF($A135="", "", D135-E135)</f>
        <v/>
      </c>
    </row>
    <row r="136">
      <c r="A136" s="11">
        <f>IF('Hareket Girişi'!E138&gt;0,'Hareket Girişi'!A138,"")</f>
        <v/>
      </c>
      <c r="B136">
        <f>IF($A136="", "", 'Hareket Girişi'!B138)</f>
        <v/>
      </c>
      <c r="C136">
        <f>IF($A136="", "", 'Hareket Girişi'!C138)</f>
        <v/>
      </c>
      <c r="D136" s="27">
        <f>IF($A136="", "", 'Hareket Girişi'!D138)</f>
        <v/>
      </c>
      <c r="E136" s="27">
        <f>IF($A136="", "", 'Hareket Girişi'!E138)</f>
        <v/>
      </c>
      <c r="F136" s="27">
        <f>IF($A136="", "", D136-E136)</f>
        <v/>
      </c>
    </row>
    <row r="137">
      <c r="A137" s="11">
        <f>IF('Hareket Girişi'!E139&gt;0,'Hareket Girişi'!A139,"")</f>
        <v/>
      </c>
      <c r="B137">
        <f>IF($A137="", "", 'Hareket Girişi'!B139)</f>
        <v/>
      </c>
      <c r="C137">
        <f>IF($A137="", "", 'Hareket Girişi'!C139)</f>
        <v/>
      </c>
      <c r="D137" s="27">
        <f>IF($A137="", "", 'Hareket Girişi'!D139)</f>
        <v/>
      </c>
      <c r="E137" s="27">
        <f>IF($A137="", "", 'Hareket Girişi'!E139)</f>
        <v/>
      </c>
      <c r="F137" s="27">
        <f>IF($A137="", "", D137-E137)</f>
        <v/>
      </c>
    </row>
    <row r="138">
      <c r="A138" s="11">
        <f>IF('Hareket Girişi'!E140&gt;0,'Hareket Girişi'!A140,"")</f>
        <v/>
      </c>
      <c r="B138">
        <f>IF($A138="", "", 'Hareket Girişi'!B140)</f>
        <v/>
      </c>
      <c r="C138">
        <f>IF($A138="", "", 'Hareket Girişi'!C140)</f>
        <v/>
      </c>
      <c r="D138" s="27">
        <f>IF($A138="", "", 'Hareket Girişi'!D140)</f>
        <v/>
      </c>
      <c r="E138" s="27">
        <f>IF($A138="", "", 'Hareket Girişi'!E140)</f>
        <v/>
      </c>
      <c r="F138" s="27">
        <f>IF($A138="", "", D138-E138)</f>
        <v/>
      </c>
    </row>
    <row r="139">
      <c r="A139" s="11">
        <f>IF('Hareket Girişi'!E141&gt;0,'Hareket Girişi'!A141,"")</f>
        <v/>
      </c>
      <c r="B139">
        <f>IF($A139="", "", 'Hareket Girişi'!B141)</f>
        <v/>
      </c>
      <c r="C139">
        <f>IF($A139="", "", 'Hareket Girişi'!C141)</f>
        <v/>
      </c>
      <c r="D139" s="27">
        <f>IF($A139="", "", 'Hareket Girişi'!D141)</f>
        <v/>
      </c>
      <c r="E139" s="27">
        <f>IF($A139="", "", 'Hareket Girişi'!E141)</f>
        <v/>
      </c>
      <c r="F139" s="27">
        <f>IF($A139="", "", D139-E139)</f>
        <v/>
      </c>
    </row>
    <row r="140">
      <c r="A140" s="11">
        <f>IF('Hareket Girişi'!E142&gt;0,'Hareket Girişi'!A142,"")</f>
        <v/>
      </c>
      <c r="B140">
        <f>IF($A140="", "", 'Hareket Girişi'!B142)</f>
        <v/>
      </c>
      <c r="C140">
        <f>IF($A140="", "", 'Hareket Girişi'!C142)</f>
        <v/>
      </c>
      <c r="D140" s="27">
        <f>IF($A140="", "", 'Hareket Girişi'!D142)</f>
        <v/>
      </c>
      <c r="E140" s="27">
        <f>IF($A140="", "", 'Hareket Girişi'!E142)</f>
        <v/>
      </c>
      <c r="F140" s="27">
        <f>IF($A140="", "", D140-E140)</f>
        <v/>
      </c>
    </row>
    <row r="141">
      <c r="A141" s="11">
        <f>IF('Hareket Girişi'!E143&gt;0,'Hareket Girişi'!A143,"")</f>
        <v/>
      </c>
      <c r="B141">
        <f>IF($A141="", "", 'Hareket Girişi'!B143)</f>
        <v/>
      </c>
      <c r="C141">
        <f>IF($A141="", "", 'Hareket Girişi'!C143)</f>
        <v/>
      </c>
      <c r="D141" s="27">
        <f>IF($A141="", "", 'Hareket Girişi'!D143)</f>
        <v/>
      </c>
      <c r="E141" s="27">
        <f>IF($A141="", "", 'Hareket Girişi'!E143)</f>
        <v/>
      </c>
      <c r="F141" s="27">
        <f>IF($A141="", "", D141-E141)</f>
        <v/>
      </c>
    </row>
    <row r="142">
      <c r="A142" s="11">
        <f>IF('Hareket Girişi'!E144&gt;0,'Hareket Girişi'!A144,"")</f>
        <v/>
      </c>
      <c r="B142">
        <f>IF($A142="", "", 'Hareket Girişi'!B144)</f>
        <v/>
      </c>
      <c r="C142">
        <f>IF($A142="", "", 'Hareket Girişi'!C144)</f>
        <v/>
      </c>
      <c r="D142" s="27">
        <f>IF($A142="", "", 'Hareket Girişi'!D144)</f>
        <v/>
      </c>
      <c r="E142" s="27">
        <f>IF($A142="", "", 'Hareket Girişi'!E144)</f>
        <v/>
      </c>
      <c r="F142" s="27">
        <f>IF($A142="", "", D142-E142)</f>
        <v/>
      </c>
    </row>
    <row r="143">
      <c r="A143" s="11">
        <f>IF('Hareket Girişi'!E145&gt;0,'Hareket Girişi'!A145,"")</f>
        <v/>
      </c>
      <c r="B143">
        <f>IF($A143="", "", 'Hareket Girişi'!B145)</f>
        <v/>
      </c>
      <c r="C143">
        <f>IF($A143="", "", 'Hareket Girişi'!C145)</f>
        <v/>
      </c>
      <c r="D143" s="27">
        <f>IF($A143="", "", 'Hareket Girişi'!D145)</f>
        <v/>
      </c>
      <c r="E143" s="27">
        <f>IF($A143="", "", 'Hareket Girişi'!E145)</f>
        <v/>
      </c>
      <c r="F143" s="27">
        <f>IF($A143="", "", D143-E143)</f>
        <v/>
      </c>
    </row>
    <row r="144">
      <c r="A144" s="11">
        <f>IF('Hareket Girişi'!E146&gt;0,'Hareket Girişi'!A146,"")</f>
        <v/>
      </c>
      <c r="B144">
        <f>IF($A144="", "", 'Hareket Girişi'!B146)</f>
        <v/>
      </c>
      <c r="C144">
        <f>IF($A144="", "", 'Hareket Girişi'!C146)</f>
        <v/>
      </c>
      <c r="D144" s="27">
        <f>IF($A144="", "", 'Hareket Girişi'!D146)</f>
        <v/>
      </c>
      <c r="E144" s="27">
        <f>IF($A144="", "", 'Hareket Girişi'!E146)</f>
        <v/>
      </c>
      <c r="F144" s="27">
        <f>IF($A144="", "", D144-E144)</f>
        <v/>
      </c>
    </row>
    <row r="145">
      <c r="A145" s="11">
        <f>IF('Hareket Girişi'!E147&gt;0,'Hareket Girişi'!A147,"")</f>
        <v/>
      </c>
      <c r="B145">
        <f>IF($A145="", "", 'Hareket Girişi'!B147)</f>
        <v/>
      </c>
      <c r="C145">
        <f>IF($A145="", "", 'Hareket Girişi'!C147)</f>
        <v/>
      </c>
      <c r="D145" s="27">
        <f>IF($A145="", "", 'Hareket Girişi'!D147)</f>
        <v/>
      </c>
      <c r="E145" s="27">
        <f>IF($A145="", "", 'Hareket Girişi'!E147)</f>
        <v/>
      </c>
      <c r="F145" s="27">
        <f>IF($A145="", "", D145-E145)</f>
        <v/>
      </c>
    </row>
    <row r="146">
      <c r="A146" s="11">
        <f>IF('Hareket Girişi'!E148&gt;0,'Hareket Girişi'!A148,"")</f>
        <v/>
      </c>
      <c r="B146">
        <f>IF($A146="", "", 'Hareket Girişi'!B148)</f>
        <v/>
      </c>
      <c r="C146">
        <f>IF($A146="", "", 'Hareket Girişi'!C148)</f>
        <v/>
      </c>
      <c r="D146" s="27">
        <f>IF($A146="", "", 'Hareket Girişi'!D148)</f>
        <v/>
      </c>
      <c r="E146" s="27">
        <f>IF($A146="", "", 'Hareket Girişi'!E148)</f>
        <v/>
      </c>
      <c r="F146" s="27">
        <f>IF($A146="", "", D146-E146)</f>
        <v/>
      </c>
    </row>
    <row r="147">
      <c r="A147" s="11">
        <f>IF('Hareket Girişi'!E149&gt;0,'Hareket Girişi'!A149,"")</f>
        <v/>
      </c>
      <c r="B147">
        <f>IF($A147="", "", 'Hareket Girişi'!B149)</f>
        <v/>
      </c>
      <c r="C147">
        <f>IF($A147="", "", 'Hareket Girişi'!C149)</f>
        <v/>
      </c>
      <c r="D147" s="27">
        <f>IF($A147="", "", 'Hareket Girişi'!D149)</f>
        <v/>
      </c>
      <c r="E147" s="27">
        <f>IF($A147="", "", 'Hareket Girişi'!E149)</f>
        <v/>
      </c>
      <c r="F147" s="27">
        <f>IF($A147="", "", D147-E147)</f>
        <v/>
      </c>
    </row>
    <row r="148">
      <c r="A148" s="11">
        <f>IF('Hareket Girişi'!E150&gt;0,'Hareket Girişi'!A150,"")</f>
        <v/>
      </c>
      <c r="B148">
        <f>IF($A148="", "", 'Hareket Girişi'!B150)</f>
        <v/>
      </c>
      <c r="C148">
        <f>IF($A148="", "", 'Hareket Girişi'!C150)</f>
        <v/>
      </c>
      <c r="D148" s="27">
        <f>IF($A148="", "", 'Hareket Girişi'!D150)</f>
        <v/>
      </c>
      <c r="E148" s="27">
        <f>IF($A148="", "", 'Hareket Girişi'!E150)</f>
        <v/>
      </c>
      <c r="F148" s="27">
        <f>IF($A148="", "", D148-E148)</f>
        <v/>
      </c>
    </row>
    <row r="149">
      <c r="A149" s="11">
        <f>IF('Hareket Girişi'!E151&gt;0,'Hareket Girişi'!A151,"")</f>
        <v/>
      </c>
      <c r="B149">
        <f>IF($A149="", "", 'Hareket Girişi'!B151)</f>
        <v/>
      </c>
      <c r="C149">
        <f>IF($A149="", "", 'Hareket Girişi'!C151)</f>
        <v/>
      </c>
      <c r="D149" s="27">
        <f>IF($A149="", "", 'Hareket Girişi'!D151)</f>
        <v/>
      </c>
      <c r="E149" s="27">
        <f>IF($A149="", "", 'Hareket Girişi'!E151)</f>
        <v/>
      </c>
      <c r="F149" s="27">
        <f>IF($A149="", "", D149-E149)</f>
        <v/>
      </c>
    </row>
    <row r="150">
      <c r="A150" s="11">
        <f>IF('Hareket Girişi'!E152&gt;0,'Hareket Girişi'!A152,"")</f>
        <v/>
      </c>
      <c r="B150">
        <f>IF($A150="", "", 'Hareket Girişi'!B152)</f>
        <v/>
      </c>
      <c r="C150">
        <f>IF($A150="", "", 'Hareket Girişi'!C152)</f>
        <v/>
      </c>
      <c r="D150" s="27">
        <f>IF($A150="", "", 'Hareket Girişi'!D152)</f>
        <v/>
      </c>
      <c r="E150" s="27">
        <f>IF($A150="", "", 'Hareket Girişi'!E152)</f>
        <v/>
      </c>
      <c r="F150" s="27">
        <f>IF($A150="", "", D150-E150)</f>
        <v/>
      </c>
    </row>
    <row r="151">
      <c r="A151" s="11">
        <f>IF('Hareket Girişi'!E153&gt;0,'Hareket Girişi'!A153,"")</f>
        <v/>
      </c>
      <c r="B151">
        <f>IF($A151="", "", 'Hareket Girişi'!B153)</f>
        <v/>
      </c>
      <c r="C151">
        <f>IF($A151="", "", 'Hareket Girişi'!C153)</f>
        <v/>
      </c>
      <c r="D151" s="27">
        <f>IF($A151="", "", 'Hareket Girişi'!D153)</f>
        <v/>
      </c>
      <c r="E151" s="27">
        <f>IF($A151="", "", 'Hareket Girişi'!E153)</f>
        <v/>
      </c>
      <c r="F151" s="27">
        <f>IF($A151="", "", D151-E151)</f>
        <v/>
      </c>
    </row>
    <row r="152">
      <c r="A152" s="11">
        <f>IF('Hareket Girişi'!E154&gt;0,'Hareket Girişi'!A154,"")</f>
        <v/>
      </c>
      <c r="B152">
        <f>IF($A152="", "", 'Hareket Girişi'!B154)</f>
        <v/>
      </c>
      <c r="C152">
        <f>IF($A152="", "", 'Hareket Girişi'!C154)</f>
        <v/>
      </c>
      <c r="D152" s="27">
        <f>IF($A152="", "", 'Hareket Girişi'!D154)</f>
        <v/>
      </c>
      <c r="E152" s="27">
        <f>IF($A152="", "", 'Hareket Girişi'!E154)</f>
        <v/>
      </c>
      <c r="F152" s="27">
        <f>IF($A152="", "", D152-E152)</f>
        <v/>
      </c>
    </row>
    <row r="153">
      <c r="A153" s="11">
        <f>IF('Hareket Girişi'!E155&gt;0,'Hareket Girişi'!A155,"")</f>
        <v/>
      </c>
      <c r="B153">
        <f>IF($A153="", "", 'Hareket Girişi'!B155)</f>
        <v/>
      </c>
      <c r="C153">
        <f>IF($A153="", "", 'Hareket Girişi'!C155)</f>
        <v/>
      </c>
      <c r="D153" s="27">
        <f>IF($A153="", "", 'Hareket Girişi'!D155)</f>
        <v/>
      </c>
      <c r="E153" s="27">
        <f>IF($A153="", "", 'Hareket Girişi'!E155)</f>
        <v/>
      </c>
      <c r="F153" s="27">
        <f>IF($A153="", "", D153-E153)</f>
        <v/>
      </c>
    </row>
    <row r="154">
      <c r="A154" s="11">
        <f>IF('Hareket Girişi'!E156&gt;0,'Hareket Girişi'!A156,"")</f>
        <v/>
      </c>
      <c r="B154">
        <f>IF($A154="", "", 'Hareket Girişi'!B156)</f>
        <v/>
      </c>
      <c r="C154">
        <f>IF($A154="", "", 'Hareket Girişi'!C156)</f>
        <v/>
      </c>
      <c r="D154" s="27">
        <f>IF($A154="", "", 'Hareket Girişi'!D156)</f>
        <v/>
      </c>
      <c r="E154" s="27">
        <f>IF($A154="", "", 'Hareket Girişi'!E156)</f>
        <v/>
      </c>
      <c r="F154" s="27">
        <f>IF($A154="", "", D154-E154)</f>
        <v/>
      </c>
    </row>
    <row r="155">
      <c r="A155" s="11">
        <f>IF('Hareket Girişi'!E157&gt;0,'Hareket Girişi'!A157,"")</f>
        <v/>
      </c>
      <c r="B155">
        <f>IF($A155="", "", 'Hareket Girişi'!B157)</f>
        <v/>
      </c>
      <c r="C155">
        <f>IF($A155="", "", 'Hareket Girişi'!C157)</f>
        <v/>
      </c>
      <c r="D155" s="27">
        <f>IF($A155="", "", 'Hareket Girişi'!D157)</f>
        <v/>
      </c>
      <c r="E155" s="27">
        <f>IF($A155="", "", 'Hareket Girişi'!E157)</f>
        <v/>
      </c>
      <c r="F155" s="27">
        <f>IF($A155="", "", D155-E155)</f>
        <v/>
      </c>
    </row>
    <row r="156">
      <c r="A156" s="11">
        <f>IF('Hareket Girişi'!E158&gt;0,'Hareket Girişi'!A158,"")</f>
        <v/>
      </c>
      <c r="B156">
        <f>IF($A156="", "", 'Hareket Girişi'!B158)</f>
        <v/>
      </c>
      <c r="C156">
        <f>IF($A156="", "", 'Hareket Girişi'!C158)</f>
        <v/>
      </c>
      <c r="D156" s="27">
        <f>IF($A156="", "", 'Hareket Girişi'!D158)</f>
        <v/>
      </c>
      <c r="E156" s="27">
        <f>IF($A156="", "", 'Hareket Girişi'!E158)</f>
        <v/>
      </c>
      <c r="F156" s="27">
        <f>IF($A156="", "", D156-E156)</f>
        <v/>
      </c>
    </row>
    <row r="157">
      <c r="A157" s="11">
        <f>IF('Hareket Girişi'!E159&gt;0,'Hareket Girişi'!A159,"")</f>
        <v/>
      </c>
      <c r="B157">
        <f>IF($A157="", "", 'Hareket Girişi'!B159)</f>
        <v/>
      </c>
      <c r="C157">
        <f>IF($A157="", "", 'Hareket Girişi'!C159)</f>
        <v/>
      </c>
      <c r="D157" s="27">
        <f>IF($A157="", "", 'Hareket Girişi'!D159)</f>
        <v/>
      </c>
      <c r="E157" s="27">
        <f>IF($A157="", "", 'Hareket Girişi'!E159)</f>
        <v/>
      </c>
      <c r="F157" s="27">
        <f>IF($A157="", "", D157-E157)</f>
        <v/>
      </c>
    </row>
    <row r="158">
      <c r="A158" s="11">
        <f>IF('Hareket Girişi'!E160&gt;0,'Hareket Girişi'!A160,"")</f>
        <v/>
      </c>
      <c r="B158">
        <f>IF($A158="", "", 'Hareket Girişi'!B160)</f>
        <v/>
      </c>
      <c r="C158">
        <f>IF($A158="", "", 'Hareket Girişi'!C160)</f>
        <v/>
      </c>
      <c r="D158" s="27">
        <f>IF($A158="", "", 'Hareket Girişi'!D160)</f>
        <v/>
      </c>
      <c r="E158" s="27">
        <f>IF($A158="", "", 'Hareket Girişi'!E160)</f>
        <v/>
      </c>
      <c r="F158" s="27">
        <f>IF($A158="", "", D158-E158)</f>
        <v/>
      </c>
    </row>
    <row r="159">
      <c r="A159" s="11">
        <f>IF('Hareket Girişi'!E161&gt;0,'Hareket Girişi'!A161,"")</f>
        <v/>
      </c>
      <c r="B159">
        <f>IF($A159="", "", 'Hareket Girişi'!B161)</f>
        <v/>
      </c>
      <c r="C159">
        <f>IF($A159="", "", 'Hareket Girişi'!C161)</f>
        <v/>
      </c>
      <c r="D159" s="27">
        <f>IF($A159="", "", 'Hareket Girişi'!D161)</f>
        <v/>
      </c>
      <c r="E159" s="27">
        <f>IF($A159="", "", 'Hareket Girişi'!E161)</f>
        <v/>
      </c>
      <c r="F159" s="27">
        <f>IF($A159="", "", D159-E159)</f>
        <v/>
      </c>
    </row>
    <row r="160">
      <c r="A160" s="11">
        <f>IF('Hareket Girişi'!E162&gt;0,'Hareket Girişi'!A162,"")</f>
        <v/>
      </c>
      <c r="B160">
        <f>IF($A160="", "", 'Hareket Girişi'!B162)</f>
        <v/>
      </c>
      <c r="C160">
        <f>IF($A160="", "", 'Hareket Girişi'!C162)</f>
        <v/>
      </c>
      <c r="D160" s="27">
        <f>IF($A160="", "", 'Hareket Girişi'!D162)</f>
        <v/>
      </c>
      <c r="E160" s="27">
        <f>IF($A160="", "", 'Hareket Girişi'!E162)</f>
        <v/>
      </c>
      <c r="F160" s="27">
        <f>IF($A160="", "", D160-E160)</f>
        <v/>
      </c>
    </row>
    <row r="161">
      <c r="A161" s="11">
        <f>IF('Hareket Girişi'!E163&gt;0,'Hareket Girişi'!A163,"")</f>
        <v/>
      </c>
      <c r="B161">
        <f>IF($A161="", "", 'Hareket Girişi'!B163)</f>
        <v/>
      </c>
      <c r="C161">
        <f>IF($A161="", "", 'Hareket Girişi'!C163)</f>
        <v/>
      </c>
      <c r="D161" s="27">
        <f>IF($A161="", "", 'Hareket Girişi'!D163)</f>
        <v/>
      </c>
      <c r="E161" s="27">
        <f>IF($A161="", "", 'Hareket Girişi'!E163)</f>
        <v/>
      </c>
      <c r="F161" s="27">
        <f>IF($A161="", "", D161-E161)</f>
        <v/>
      </c>
    </row>
    <row r="162">
      <c r="A162" s="11">
        <f>IF('Hareket Girişi'!E164&gt;0,'Hareket Girişi'!A164,"")</f>
        <v/>
      </c>
      <c r="B162">
        <f>IF($A162="", "", 'Hareket Girişi'!B164)</f>
        <v/>
      </c>
      <c r="C162">
        <f>IF($A162="", "", 'Hareket Girişi'!C164)</f>
        <v/>
      </c>
      <c r="D162" s="27">
        <f>IF($A162="", "", 'Hareket Girişi'!D164)</f>
        <v/>
      </c>
      <c r="E162" s="27">
        <f>IF($A162="", "", 'Hareket Girişi'!E164)</f>
        <v/>
      </c>
      <c r="F162" s="27">
        <f>IF($A162="", "", D162-E162)</f>
        <v/>
      </c>
    </row>
    <row r="163">
      <c r="A163" s="11">
        <f>IF('Hareket Girişi'!E165&gt;0,'Hareket Girişi'!A165,"")</f>
        <v/>
      </c>
      <c r="B163">
        <f>IF($A163="", "", 'Hareket Girişi'!B165)</f>
        <v/>
      </c>
      <c r="C163">
        <f>IF($A163="", "", 'Hareket Girişi'!C165)</f>
        <v/>
      </c>
      <c r="D163" s="27">
        <f>IF($A163="", "", 'Hareket Girişi'!D165)</f>
        <v/>
      </c>
      <c r="E163" s="27">
        <f>IF($A163="", "", 'Hareket Girişi'!E165)</f>
        <v/>
      </c>
      <c r="F163" s="27">
        <f>IF($A163="", "", D163-E163)</f>
        <v/>
      </c>
    </row>
    <row r="164">
      <c r="A164" s="11">
        <f>IF('Hareket Girişi'!E166&gt;0,'Hareket Girişi'!A166,"")</f>
        <v/>
      </c>
      <c r="B164">
        <f>IF($A164="", "", 'Hareket Girişi'!B166)</f>
        <v/>
      </c>
      <c r="C164">
        <f>IF($A164="", "", 'Hareket Girişi'!C166)</f>
        <v/>
      </c>
      <c r="D164" s="27">
        <f>IF($A164="", "", 'Hareket Girişi'!D166)</f>
        <v/>
      </c>
      <c r="E164" s="27">
        <f>IF($A164="", "", 'Hareket Girişi'!E166)</f>
        <v/>
      </c>
      <c r="F164" s="27">
        <f>IF($A164="", "", D164-E164)</f>
        <v/>
      </c>
    </row>
    <row r="165">
      <c r="A165" s="11">
        <f>IF('Hareket Girişi'!E167&gt;0,'Hareket Girişi'!A167,"")</f>
        <v/>
      </c>
      <c r="B165">
        <f>IF($A165="", "", 'Hareket Girişi'!B167)</f>
        <v/>
      </c>
      <c r="C165">
        <f>IF($A165="", "", 'Hareket Girişi'!C167)</f>
        <v/>
      </c>
      <c r="D165" s="27">
        <f>IF($A165="", "", 'Hareket Girişi'!D167)</f>
        <v/>
      </c>
      <c r="E165" s="27">
        <f>IF($A165="", "", 'Hareket Girişi'!E167)</f>
        <v/>
      </c>
      <c r="F165" s="27">
        <f>IF($A165="", "", D165-E165)</f>
        <v/>
      </c>
    </row>
    <row r="166">
      <c r="A166" s="11">
        <f>IF('Hareket Girişi'!E168&gt;0,'Hareket Girişi'!A168,"")</f>
        <v/>
      </c>
      <c r="B166">
        <f>IF($A166="", "", 'Hareket Girişi'!B168)</f>
        <v/>
      </c>
      <c r="C166">
        <f>IF($A166="", "", 'Hareket Girişi'!C168)</f>
        <v/>
      </c>
      <c r="D166" s="27">
        <f>IF($A166="", "", 'Hareket Girişi'!D168)</f>
        <v/>
      </c>
      <c r="E166" s="27">
        <f>IF($A166="", "", 'Hareket Girişi'!E168)</f>
        <v/>
      </c>
      <c r="F166" s="27">
        <f>IF($A166="", "", D166-E166)</f>
        <v/>
      </c>
    </row>
    <row r="167">
      <c r="A167" s="11">
        <f>IF('Hareket Girişi'!E169&gt;0,'Hareket Girişi'!A169,"")</f>
        <v/>
      </c>
      <c r="B167">
        <f>IF($A167="", "", 'Hareket Girişi'!B169)</f>
        <v/>
      </c>
      <c r="C167">
        <f>IF($A167="", "", 'Hareket Girişi'!C169)</f>
        <v/>
      </c>
      <c r="D167" s="27">
        <f>IF($A167="", "", 'Hareket Girişi'!D169)</f>
        <v/>
      </c>
      <c r="E167" s="27">
        <f>IF($A167="", "", 'Hareket Girişi'!E169)</f>
        <v/>
      </c>
      <c r="F167" s="27">
        <f>IF($A167="", "", D167-E167)</f>
        <v/>
      </c>
    </row>
    <row r="168">
      <c r="A168" s="11">
        <f>IF('Hareket Girişi'!E170&gt;0,'Hareket Girişi'!A170,"")</f>
        <v/>
      </c>
      <c r="B168">
        <f>IF($A168="", "", 'Hareket Girişi'!B170)</f>
        <v/>
      </c>
      <c r="C168">
        <f>IF($A168="", "", 'Hareket Girişi'!C170)</f>
        <v/>
      </c>
      <c r="D168" s="27">
        <f>IF($A168="", "", 'Hareket Girişi'!D170)</f>
        <v/>
      </c>
      <c r="E168" s="27">
        <f>IF($A168="", "", 'Hareket Girişi'!E170)</f>
        <v/>
      </c>
      <c r="F168" s="27">
        <f>IF($A168="", "", D168-E168)</f>
        <v/>
      </c>
    </row>
    <row r="169">
      <c r="A169" s="11">
        <f>IF('Hareket Girişi'!E171&gt;0,'Hareket Girişi'!A171,"")</f>
        <v/>
      </c>
      <c r="B169">
        <f>IF($A169="", "", 'Hareket Girişi'!B171)</f>
        <v/>
      </c>
      <c r="C169">
        <f>IF($A169="", "", 'Hareket Girişi'!C171)</f>
        <v/>
      </c>
      <c r="D169" s="27">
        <f>IF($A169="", "", 'Hareket Girişi'!D171)</f>
        <v/>
      </c>
      <c r="E169" s="27">
        <f>IF($A169="", "", 'Hareket Girişi'!E171)</f>
        <v/>
      </c>
      <c r="F169" s="27">
        <f>IF($A169="", "", D169-E169)</f>
        <v/>
      </c>
    </row>
    <row r="170">
      <c r="A170" s="11">
        <f>IF('Hareket Girişi'!E172&gt;0,'Hareket Girişi'!A172,"")</f>
        <v/>
      </c>
      <c r="B170">
        <f>IF($A170="", "", 'Hareket Girişi'!B172)</f>
        <v/>
      </c>
      <c r="C170">
        <f>IF($A170="", "", 'Hareket Girişi'!C172)</f>
        <v/>
      </c>
      <c r="D170" s="27">
        <f>IF($A170="", "", 'Hareket Girişi'!D172)</f>
        <v/>
      </c>
      <c r="E170" s="27">
        <f>IF($A170="", "", 'Hareket Girişi'!E172)</f>
        <v/>
      </c>
      <c r="F170" s="27">
        <f>IF($A170="", "", D170-E170)</f>
        <v/>
      </c>
    </row>
    <row r="171">
      <c r="A171" s="11">
        <f>IF('Hareket Girişi'!E173&gt;0,'Hareket Girişi'!A173,"")</f>
        <v/>
      </c>
      <c r="B171">
        <f>IF($A171="", "", 'Hareket Girişi'!B173)</f>
        <v/>
      </c>
      <c r="C171">
        <f>IF($A171="", "", 'Hareket Girişi'!C173)</f>
        <v/>
      </c>
      <c r="D171" s="27">
        <f>IF($A171="", "", 'Hareket Girişi'!D173)</f>
        <v/>
      </c>
      <c r="E171" s="27">
        <f>IF($A171="", "", 'Hareket Girişi'!E173)</f>
        <v/>
      </c>
      <c r="F171" s="27">
        <f>IF($A171="", "", D171-E171)</f>
        <v/>
      </c>
    </row>
    <row r="172">
      <c r="A172" s="11">
        <f>IF('Hareket Girişi'!E174&gt;0,'Hareket Girişi'!A174,"")</f>
        <v/>
      </c>
      <c r="B172">
        <f>IF($A172="", "", 'Hareket Girişi'!B174)</f>
        <v/>
      </c>
      <c r="C172">
        <f>IF($A172="", "", 'Hareket Girişi'!C174)</f>
        <v/>
      </c>
      <c r="D172" s="27">
        <f>IF($A172="", "", 'Hareket Girişi'!D174)</f>
        <v/>
      </c>
      <c r="E172" s="27">
        <f>IF($A172="", "", 'Hareket Girişi'!E174)</f>
        <v/>
      </c>
      <c r="F172" s="27">
        <f>IF($A172="", "", D172-E172)</f>
        <v/>
      </c>
    </row>
    <row r="173">
      <c r="A173" s="11">
        <f>IF('Hareket Girişi'!E175&gt;0,'Hareket Girişi'!A175,"")</f>
        <v/>
      </c>
      <c r="B173">
        <f>IF($A173="", "", 'Hareket Girişi'!B175)</f>
        <v/>
      </c>
      <c r="C173">
        <f>IF($A173="", "", 'Hareket Girişi'!C175)</f>
        <v/>
      </c>
      <c r="D173" s="27">
        <f>IF($A173="", "", 'Hareket Girişi'!D175)</f>
        <v/>
      </c>
      <c r="E173" s="27">
        <f>IF($A173="", "", 'Hareket Girişi'!E175)</f>
        <v/>
      </c>
      <c r="F173" s="27">
        <f>IF($A173="", "", D173-E173)</f>
        <v/>
      </c>
    </row>
    <row r="174">
      <c r="A174" s="11">
        <f>IF('Hareket Girişi'!E176&gt;0,'Hareket Girişi'!A176,"")</f>
        <v/>
      </c>
      <c r="B174">
        <f>IF($A174="", "", 'Hareket Girişi'!B176)</f>
        <v/>
      </c>
      <c r="C174">
        <f>IF($A174="", "", 'Hareket Girişi'!C176)</f>
        <v/>
      </c>
      <c r="D174" s="27">
        <f>IF($A174="", "", 'Hareket Girişi'!D176)</f>
        <v/>
      </c>
      <c r="E174" s="27">
        <f>IF($A174="", "", 'Hareket Girişi'!E176)</f>
        <v/>
      </c>
      <c r="F174" s="27">
        <f>IF($A174="", "", D174-E174)</f>
        <v/>
      </c>
    </row>
    <row r="175">
      <c r="A175" s="11">
        <f>IF('Hareket Girişi'!E177&gt;0,'Hareket Girişi'!A177,"")</f>
        <v/>
      </c>
      <c r="B175">
        <f>IF($A175="", "", 'Hareket Girişi'!B177)</f>
        <v/>
      </c>
      <c r="C175">
        <f>IF($A175="", "", 'Hareket Girişi'!C177)</f>
        <v/>
      </c>
      <c r="D175" s="27">
        <f>IF($A175="", "", 'Hareket Girişi'!D177)</f>
        <v/>
      </c>
      <c r="E175" s="27">
        <f>IF($A175="", "", 'Hareket Girişi'!E177)</f>
        <v/>
      </c>
      <c r="F175" s="27">
        <f>IF($A175="", "", D175-E175)</f>
        <v/>
      </c>
    </row>
    <row r="176">
      <c r="A176" s="11">
        <f>IF('Hareket Girişi'!E178&gt;0,'Hareket Girişi'!A178,"")</f>
        <v/>
      </c>
      <c r="B176">
        <f>IF($A176="", "", 'Hareket Girişi'!B178)</f>
        <v/>
      </c>
      <c r="C176">
        <f>IF($A176="", "", 'Hareket Girişi'!C178)</f>
        <v/>
      </c>
      <c r="D176" s="27">
        <f>IF($A176="", "", 'Hareket Girişi'!D178)</f>
        <v/>
      </c>
      <c r="E176" s="27">
        <f>IF($A176="", "", 'Hareket Girişi'!E178)</f>
        <v/>
      </c>
      <c r="F176" s="27">
        <f>IF($A176="", "", D176-E176)</f>
        <v/>
      </c>
    </row>
    <row r="177">
      <c r="A177" s="11">
        <f>IF('Hareket Girişi'!E179&gt;0,'Hareket Girişi'!A179,"")</f>
        <v/>
      </c>
      <c r="B177">
        <f>IF($A177="", "", 'Hareket Girişi'!B179)</f>
        <v/>
      </c>
      <c r="C177">
        <f>IF($A177="", "", 'Hareket Girişi'!C179)</f>
        <v/>
      </c>
      <c r="D177" s="27">
        <f>IF($A177="", "", 'Hareket Girişi'!D179)</f>
        <v/>
      </c>
      <c r="E177" s="27">
        <f>IF($A177="", "", 'Hareket Girişi'!E179)</f>
        <v/>
      </c>
      <c r="F177" s="27">
        <f>IF($A177="", "", D177-E177)</f>
        <v/>
      </c>
    </row>
    <row r="178">
      <c r="A178" s="11">
        <f>IF('Hareket Girişi'!E180&gt;0,'Hareket Girişi'!A180,"")</f>
        <v/>
      </c>
      <c r="B178">
        <f>IF($A178="", "", 'Hareket Girişi'!B180)</f>
        <v/>
      </c>
      <c r="C178">
        <f>IF($A178="", "", 'Hareket Girişi'!C180)</f>
        <v/>
      </c>
      <c r="D178" s="27">
        <f>IF($A178="", "", 'Hareket Girişi'!D180)</f>
        <v/>
      </c>
      <c r="E178" s="27">
        <f>IF($A178="", "", 'Hareket Girişi'!E180)</f>
        <v/>
      </c>
      <c r="F178" s="27">
        <f>IF($A178="", "", D178-E178)</f>
        <v/>
      </c>
    </row>
    <row r="179">
      <c r="A179" s="11">
        <f>IF('Hareket Girişi'!E181&gt;0,'Hareket Girişi'!A181,"")</f>
        <v/>
      </c>
      <c r="B179">
        <f>IF($A179="", "", 'Hareket Girişi'!B181)</f>
        <v/>
      </c>
      <c r="C179">
        <f>IF($A179="", "", 'Hareket Girişi'!C181)</f>
        <v/>
      </c>
      <c r="D179" s="27">
        <f>IF($A179="", "", 'Hareket Girişi'!D181)</f>
        <v/>
      </c>
      <c r="E179" s="27">
        <f>IF($A179="", "", 'Hareket Girişi'!E181)</f>
        <v/>
      </c>
      <c r="F179" s="27">
        <f>IF($A179="", "", D179-E179)</f>
        <v/>
      </c>
    </row>
    <row r="180">
      <c r="A180" s="11">
        <f>IF('Hareket Girişi'!E182&gt;0,'Hareket Girişi'!A182,"")</f>
        <v/>
      </c>
      <c r="B180">
        <f>IF($A180="", "", 'Hareket Girişi'!B182)</f>
        <v/>
      </c>
      <c r="C180">
        <f>IF($A180="", "", 'Hareket Girişi'!C182)</f>
        <v/>
      </c>
      <c r="D180" s="27">
        <f>IF($A180="", "", 'Hareket Girişi'!D182)</f>
        <v/>
      </c>
      <c r="E180" s="27">
        <f>IF($A180="", "", 'Hareket Girişi'!E182)</f>
        <v/>
      </c>
      <c r="F180" s="27">
        <f>IF($A180="", "", D180-E180)</f>
        <v/>
      </c>
    </row>
    <row r="181">
      <c r="A181" s="11">
        <f>IF('Hareket Girişi'!E183&gt;0,'Hareket Girişi'!A183,"")</f>
        <v/>
      </c>
      <c r="B181">
        <f>IF($A181="", "", 'Hareket Girişi'!B183)</f>
        <v/>
      </c>
      <c r="C181">
        <f>IF($A181="", "", 'Hareket Girişi'!C183)</f>
        <v/>
      </c>
      <c r="D181" s="27">
        <f>IF($A181="", "", 'Hareket Girişi'!D183)</f>
        <v/>
      </c>
      <c r="E181" s="27">
        <f>IF($A181="", "", 'Hareket Girişi'!E183)</f>
        <v/>
      </c>
      <c r="F181" s="27">
        <f>IF($A181="", "", D181-E181)</f>
        <v/>
      </c>
    </row>
    <row r="182">
      <c r="A182" s="11">
        <f>IF('Hareket Girişi'!E184&gt;0,'Hareket Girişi'!A184,"")</f>
        <v/>
      </c>
      <c r="B182">
        <f>IF($A182="", "", 'Hareket Girişi'!B184)</f>
        <v/>
      </c>
      <c r="C182">
        <f>IF($A182="", "", 'Hareket Girişi'!C184)</f>
        <v/>
      </c>
      <c r="D182" s="27">
        <f>IF($A182="", "", 'Hareket Girişi'!D184)</f>
        <v/>
      </c>
      <c r="E182" s="27">
        <f>IF($A182="", "", 'Hareket Girişi'!E184)</f>
        <v/>
      </c>
      <c r="F182" s="27">
        <f>IF($A182="", "", D182-E182)</f>
        <v/>
      </c>
    </row>
    <row r="183">
      <c r="A183" s="11">
        <f>IF('Hareket Girişi'!E185&gt;0,'Hareket Girişi'!A185,"")</f>
        <v/>
      </c>
      <c r="B183">
        <f>IF($A183="", "", 'Hareket Girişi'!B185)</f>
        <v/>
      </c>
      <c r="C183">
        <f>IF($A183="", "", 'Hareket Girişi'!C185)</f>
        <v/>
      </c>
      <c r="D183" s="27">
        <f>IF($A183="", "", 'Hareket Girişi'!D185)</f>
        <v/>
      </c>
      <c r="E183" s="27">
        <f>IF($A183="", "", 'Hareket Girişi'!E185)</f>
        <v/>
      </c>
      <c r="F183" s="27">
        <f>IF($A183="", "", D183-E183)</f>
        <v/>
      </c>
    </row>
    <row r="184">
      <c r="A184" s="11">
        <f>IF('Hareket Girişi'!E186&gt;0,'Hareket Girişi'!A186,"")</f>
        <v/>
      </c>
      <c r="B184">
        <f>IF($A184="", "", 'Hareket Girişi'!B186)</f>
        <v/>
      </c>
      <c r="C184">
        <f>IF($A184="", "", 'Hareket Girişi'!C186)</f>
        <v/>
      </c>
      <c r="D184" s="27">
        <f>IF($A184="", "", 'Hareket Girişi'!D186)</f>
        <v/>
      </c>
      <c r="E184" s="27">
        <f>IF($A184="", "", 'Hareket Girişi'!E186)</f>
        <v/>
      </c>
      <c r="F184" s="27">
        <f>IF($A184="", "", D184-E184)</f>
        <v/>
      </c>
    </row>
    <row r="185">
      <c r="A185" s="11">
        <f>IF('Hareket Girişi'!E187&gt;0,'Hareket Girişi'!A187,"")</f>
        <v/>
      </c>
      <c r="B185">
        <f>IF($A185="", "", 'Hareket Girişi'!B187)</f>
        <v/>
      </c>
      <c r="C185">
        <f>IF($A185="", "", 'Hareket Girişi'!C187)</f>
        <v/>
      </c>
      <c r="D185" s="27">
        <f>IF($A185="", "", 'Hareket Girişi'!D187)</f>
        <v/>
      </c>
      <c r="E185" s="27">
        <f>IF($A185="", "", 'Hareket Girişi'!E187)</f>
        <v/>
      </c>
      <c r="F185" s="27">
        <f>IF($A185="", "", D185-E185)</f>
        <v/>
      </c>
    </row>
    <row r="186">
      <c r="A186" s="11">
        <f>IF('Hareket Girişi'!E188&gt;0,'Hareket Girişi'!A188,"")</f>
        <v/>
      </c>
      <c r="B186">
        <f>IF($A186="", "", 'Hareket Girişi'!B188)</f>
        <v/>
      </c>
      <c r="C186">
        <f>IF($A186="", "", 'Hareket Girişi'!C188)</f>
        <v/>
      </c>
      <c r="D186" s="27">
        <f>IF($A186="", "", 'Hareket Girişi'!D188)</f>
        <v/>
      </c>
      <c r="E186" s="27">
        <f>IF($A186="", "", 'Hareket Girişi'!E188)</f>
        <v/>
      </c>
      <c r="F186" s="27">
        <f>IF($A186="", "", D186-E186)</f>
        <v/>
      </c>
    </row>
    <row r="187">
      <c r="A187" s="11">
        <f>IF('Hareket Girişi'!E189&gt;0,'Hareket Girişi'!A189,"")</f>
        <v/>
      </c>
      <c r="B187">
        <f>IF($A187="", "", 'Hareket Girişi'!B189)</f>
        <v/>
      </c>
      <c r="C187">
        <f>IF($A187="", "", 'Hareket Girişi'!C189)</f>
        <v/>
      </c>
      <c r="D187" s="27">
        <f>IF($A187="", "", 'Hareket Girişi'!D189)</f>
        <v/>
      </c>
      <c r="E187" s="27">
        <f>IF($A187="", "", 'Hareket Girişi'!E189)</f>
        <v/>
      </c>
      <c r="F187" s="27">
        <f>IF($A187="", "", D187-E187)</f>
        <v/>
      </c>
    </row>
    <row r="188">
      <c r="A188" s="11">
        <f>IF('Hareket Girişi'!E190&gt;0,'Hareket Girişi'!A190,"")</f>
        <v/>
      </c>
      <c r="B188">
        <f>IF($A188="", "", 'Hareket Girişi'!B190)</f>
        <v/>
      </c>
      <c r="C188">
        <f>IF($A188="", "", 'Hareket Girişi'!C190)</f>
        <v/>
      </c>
      <c r="D188" s="27">
        <f>IF($A188="", "", 'Hareket Girişi'!D190)</f>
        <v/>
      </c>
      <c r="E188" s="27">
        <f>IF($A188="", "", 'Hareket Girişi'!E190)</f>
        <v/>
      </c>
      <c r="F188" s="27">
        <f>IF($A188="", "", D188-E188)</f>
        <v/>
      </c>
    </row>
    <row r="189">
      <c r="A189" s="11">
        <f>IF('Hareket Girişi'!E191&gt;0,'Hareket Girişi'!A191,"")</f>
        <v/>
      </c>
      <c r="B189">
        <f>IF($A189="", "", 'Hareket Girişi'!B191)</f>
        <v/>
      </c>
      <c r="C189">
        <f>IF($A189="", "", 'Hareket Girişi'!C191)</f>
        <v/>
      </c>
      <c r="D189" s="27">
        <f>IF($A189="", "", 'Hareket Girişi'!D191)</f>
        <v/>
      </c>
      <c r="E189" s="27">
        <f>IF($A189="", "", 'Hareket Girişi'!E191)</f>
        <v/>
      </c>
      <c r="F189" s="27">
        <f>IF($A189="", "", D189-E189)</f>
        <v/>
      </c>
    </row>
    <row r="190">
      <c r="A190" s="11">
        <f>IF('Hareket Girişi'!E192&gt;0,'Hareket Girişi'!A192,"")</f>
        <v/>
      </c>
      <c r="B190">
        <f>IF($A190="", "", 'Hareket Girişi'!B192)</f>
        <v/>
      </c>
      <c r="C190">
        <f>IF($A190="", "", 'Hareket Girişi'!C192)</f>
        <v/>
      </c>
      <c r="D190" s="27">
        <f>IF($A190="", "", 'Hareket Girişi'!D192)</f>
        <v/>
      </c>
      <c r="E190" s="27">
        <f>IF($A190="", "", 'Hareket Girişi'!E192)</f>
        <v/>
      </c>
      <c r="F190" s="27">
        <f>IF($A190="", "", D190-E190)</f>
        <v/>
      </c>
    </row>
    <row r="191">
      <c r="A191" s="11">
        <f>IF('Hareket Girişi'!E193&gt;0,'Hareket Girişi'!A193,"")</f>
        <v/>
      </c>
      <c r="B191">
        <f>IF($A191="", "", 'Hareket Girişi'!B193)</f>
        <v/>
      </c>
      <c r="C191">
        <f>IF($A191="", "", 'Hareket Girişi'!C193)</f>
        <v/>
      </c>
      <c r="D191" s="27">
        <f>IF($A191="", "", 'Hareket Girişi'!D193)</f>
        <v/>
      </c>
      <c r="E191" s="27">
        <f>IF($A191="", "", 'Hareket Girişi'!E193)</f>
        <v/>
      </c>
      <c r="F191" s="27">
        <f>IF($A191="", "", D191-E191)</f>
        <v/>
      </c>
    </row>
    <row r="192">
      <c r="A192" s="11">
        <f>IF('Hareket Girişi'!E194&gt;0,'Hareket Girişi'!A194,"")</f>
        <v/>
      </c>
      <c r="B192">
        <f>IF($A192="", "", 'Hareket Girişi'!B194)</f>
        <v/>
      </c>
      <c r="C192">
        <f>IF($A192="", "", 'Hareket Girişi'!C194)</f>
        <v/>
      </c>
      <c r="D192" s="27">
        <f>IF($A192="", "", 'Hareket Girişi'!D194)</f>
        <v/>
      </c>
      <c r="E192" s="27">
        <f>IF($A192="", "", 'Hareket Girişi'!E194)</f>
        <v/>
      </c>
      <c r="F192" s="27">
        <f>IF($A192="", "", D192-E192)</f>
        <v/>
      </c>
    </row>
    <row r="193">
      <c r="A193" s="11">
        <f>IF('Hareket Girişi'!E195&gt;0,'Hareket Girişi'!A195,"")</f>
        <v/>
      </c>
      <c r="B193">
        <f>IF($A193="", "", 'Hareket Girişi'!B195)</f>
        <v/>
      </c>
      <c r="C193">
        <f>IF($A193="", "", 'Hareket Girişi'!C195)</f>
        <v/>
      </c>
      <c r="D193" s="27">
        <f>IF($A193="", "", 'Hareket Girişi'!D195)</f>
        <v/>
      </c>
      <c r="E193" s="27">
        <f>IF($A193="", "", 'Hareket Girişi'!E195)</f>
        <v/>
      </c>
      <c r="F193" s="27">
        <f>IF($A193="", "", D193-E193)</f>
        <v/>
      </c>
    </row>
    <row r="194">
      <c r="A194" s="11">
        <f>IF('Hareket Girişi'!E196&gt;0,'Hareket Girişi'!A196,"")</f>
        <v/>
      </c>
      <c r="B194">
        <f>IF($A194="", "", 'Hareket Girişi'!B196)</f>
        <v/>
      </c>
      <c r="C194">
        <f>IF($A194="", "", 'Hareket Girişi'!C196)</f>
        <v/>
      </c>
      <c r="D194" s="27">
        <f>IF($A194="", "", 'Hareket Girişi'!D196)</f>
        <v/>
      </c>
      <c r="E194" s="27">
        <f>IF($A194="", "", 'Hareket Girişi'!E196)</f>
        <v/>
      </c>
      <c r="F194" s="27">
        <f>IF($A194="", "", D194-E194)</f>
        <v/>
      </c>
    </row>
    <row r="195">
      <c r="A195" s="11">
        <f>IF('Hareket Girişi'!E197&gt;0,'Hareket Girişi'!A197,"")</f>
        <v/>
      </c>
      <c r="B195">
        <f>IF($A195="", "", 'Hareket Girişi'!B197)</f>
        <v/>
      </c>
      <c r="C195">
        <f>IF($A195="", "", 'Hareket Girişi'!C197)</f>
        <v/>
      </c>
      <c r="D195" s="27">
        <f>IF($A195="", "", 'Hareket Girişi'!D197)</f>
        <v/>
      </c>
      <c r="E195" s="27">
        <f>IF($A195="", "", 'Hareket Girişi'!E197)</f>
        <v/>
      </c>
      <c r="F195" s="27">
        <f>IF($A195="", "", D195-E195)</f>
        <v/>
      </c>
    </row>
    <row r="196">
      <c r="A196" s="11">
        <f>IF('Hareket Girişi'!E198&gt;0,'Hareket Girişi'!A198,"")</f>
        <v/>
      </c>
      <c r="B196">
        <f>IF($A196="", "", 'Hareket Girişi'!B198)</f>
        <v/>
      </c>
      <c r="C196">
        <f>IF($A196="", "", 'Hareket Girişi'!C198)</f>
        <v/>
      </c>
      <c r="D196" s="27">
        <f>IF($A196="", "", 'Hareket Girişi'!D198)</f>
        <v/>
      </c>
      <c r="E196" s="27">
        <f>IF($A196="", "", 'Hareket Girişi'!E198)</f>
        <v/>
      </c>
      <c r="F196" s="27">
        <f>IF($A196="", "", D196-E196)</f>
        <v/>
      </c>
    </row>
    <row r="197">
      <c r="A197" s="11">
        <f>IF('Hareket Girişi'!E199&gt;0,'Hareket Girişi'!A199,"")</f>
        <v/>
      </c>
      <c r="B197">
        <f>IF($A197="", "", 'Hareket Girişi'!B199)</f>
        <v/>
      </c>
      <c r="C197">
        <f>IF($A197="", "", 'Hareket Girişi'!C199)</f>
        <v/>
      </c>
      <c r="D197" s="27">
        <f>IF($A197="", "", 'Hareket Girişi'!D199)</f>
        <v/>
      </c>
      <c r="E197" s="27">
        <f>IF($A197="", "", 'Hareket Girişi'!E199)</f>
        <v/>
      </c>
      <c r="F197" s="27">
        <f>IF($A197="", "", D197-E197)</f>
        <v/>
      </c>
    </row>
    <row r="198">
      <c r="A198" s="11">
        <f>IF('Hareket Girişi'!E200&gt;0,'Hareket Girişi'!A200,"")</f>
        <v/>
      </c>
      <c r="B198">
        <f>IF($A198="", "", 'Hareket Girişi'!B200)</f>
        <v/>
      </c>
      <c r="C198">
        <f>IF($A198="", "", 'Hareket Girişi'!C200)</f>
        <v/>
      </c>
      <c r="D198" s="27">
        <f>IF($A198="", "", 'Hareket Girişi'!D200)</f>
        <v/>
      </c>
      <c r="E198" s="27">
        <f>IF($A198="", "", 'Hareket Girişi'!E200)</f>
        <v/>
      </c>
      <c r="F198" s="27">
        <f>IF($A198="", "", D198-E198)</f>
        <v/>
      </c>
    </row>
    <row r="199">
      <c r="A199" s="11">
        <f>IF('Hareket Girişi'!E201&gt;0,'Hareket Girişi'!A201,"")</f>
        <v/>
      </c>
      <c r="B199">
        <f>IF($A199="", "", 'Hareket Girişi'!B201)</f>
        <v/>
      </c>
      <c r="C199">
        <f>IF($A199="", "", 'Hareket Girişi'!C201)</f>
        <v/>
      </c>
      <c r="D199" s="27">
        <f>IF($A199="", "", 'Hareket Girişi'!D201)</f>
        <v/>
      </c>
      <c r="E199" s="27">
        <f>IF($A199="", "", 'Hareket Girişi'!E201)</f>
        <v/>
      </c>
      <c r="F199" s="27">
        <f>IF($A199="", "", D199-E199)</f>
        <v/>
      </c>
    </row>
    <row r="200">
      <c r="A200" s="11">
        <f>IF('Hareket Girişi'!E202&gt;0,'Hareket Girişi'!A202,"")</f>
        <v/>
      </c>
      <c r="B200">
        <f>IF($A200="", "", 'Hareket Girişi'!B202)</f>
        <v/>
      </c>
      <c r="C200">
        <f>IF($A200="", "", 'Hareket Girişi'!C202)</f>
        <v/>
      </c>
      <c r="D200" s="27">
        <f>IF($A200="", "", 'Hareket Girişi'!D202)</f>
        <v/>
      </c>
      <c r="E200" s="27">
        <f>IF($A200="", "", 'Hareket Girişi'!E202)</f>
        <v/>
      </c>
      <c r="F200" s="27">
        <f>IF($A200="", "", D200-E200)</f>
        <v/>
      </c>
    </row>
    <row r="201">
      <c r="A201" s="11">
        <f>IF('Hareket Girişi'!E203&gt;0,'Hareket Girişi'!A203,"")</f>
        <v/>
      </c>
      <c r="B201">
        <f>IF($A201="", "", 'Hareket Girişi'!B203)</f>
        <v/>
      </c>
      <c r="C201">
        <f>IF($A201="", "", 'Hareket Girişi'!C203)</f>
        <v/>
      </c>
      <c r="D201" s="27">
        <f>IF($A201="", "", 'Hareket Girişi'!D203)</f>
        <v/>
      </c>
      <c r="E201" s="27">
        <f>IF($A201="", "", 'Hareket Girişi'!E203)</f>
        <v/>
      </c>
      <c r="F201" s="27">
        <f>IF($A201="", "", D201-E201)</f>
        <v/>
      </c>
    </row>
    <row r="202">
      <c r="A202" s="11">
        <f>IF('Hareket Girişi'!E204&gt;0,'Hareket Girişi'!A204,"")</f>
        <v/>
      </c>
      <c r="B202">
        <f>IF($A202="", "", 'Hareket Girişi'!B204)</f>
        <v/>
      </c>
      <c r="C202">
        <f>IF($A202="", "", 'Hareket Girişi'!C204)</f>
        <v/>
      </c>
      <c r="D202" s="27">
        <f>IF($A202="", "", 'Hareket Girişi'!D204)</f>
        <v/>
      </c>
      <c r="E202" s="27">
        <f>IF($A202="", "", 'Hareket Girişi'!E204)</f>
        <v/>
      </c>
      <c r="F202" s="27">
        <f>IF($A202="", "", D202-E202)</f>
        <v/>
      </c>
    </row>
    <row r="203">
      <c r="A203" s="11">
        <f>IF('Hareket Girişi'!E205&gt;0,'Hareket Girişi'!A205,"")</f>
        <v/>
      </c>
      <c r="B203">
        <f>IF($A203="", "", 'Hareket Girişi'!B205)</f>
        <v/>
      </c>
      <c r="C203">
        <f>IF($A203="", "", 'Hareket Girişi'!C205)</f>
        <v/>
      </c>
      <c r="D203" s="27">
        <f>IF($A203="", "", 'Hareket Girişi'!D205)</f>
        <v/>
      </c>
      <c r="E203" s="27">
        <f>IF($A203="", "", 'Hareket Girişi'!E205)</f>
        <v/>
      </c>
      <c r="F203" s="27">
        <f>IF($A203="", "", D203-E203)</f>
        <v/>
      </c>
    </row>
    <row r="204">
      <c r="C204" s="13" t="inlineStr">
        <is>
          <t>TOPLAM</t>
        </is>
      </c>
      <c r="D204" s="14">
        <f>SUM(D4:D203)</f>
        <v/>
      </c>
      <c r="E204" s="14">
        <f>SUM(E4:E203)</f>
        <v/>
      </c>
      <c r="F204" s="14">
        <f>SUM(F4:F203)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1" t="inlineStr">
        <is>
          <t>SİSTEM NOTLARI</t>
        </is>
      </c>
    </row>
    <row r="3">
      <c r="A3" s="26" t="inlineStr">
        <is>
          <t>Bu dosya formüllüdür. Mavi giriş hücrelerini değiştirince özet ve muavin değişir.</t>
        </is>
      </c>
    </row>
    <row r="4">
      <c r="A4" s="28" t="inlineStr">
        <is>
          <t>Yeni hareket eklemek için Hareket Girişi tablosunda boş satıra veri yaz.</t>
        </is>
      </c>
    </row>
    <row r="5">
      <c r="A5" s="26" t="inlineStr">
        <is>
          <t>POS tahsilatı brüt tutarla girilmelidir.</t>
        </is>
      </c>
    </row>
    <row r="6">
      <c r="A6" s="28" t="inlineStr">
        <is>
          <t>Dashboard toplamları tblHareketler tablosuna bağlıdır.</t>
        </is>
      </c>
    </row>
    <row r="7">
      <c r="A7" s="26" t="inlineStr">
        <is>
          <t>Şu an sisteme 12.03.2026 tarihli 350.000,00 TL tahsilat işlenmiştir.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2026-03-12T22:36:18Z</dcterms:created>
  <dcterms:modified xmlns:dcterms="http://purl.org/dc/terms/" xmlns:xsi="http://www.w3.org/2001/XMLSchema-instance" xsi:type="dcterms:W3CDTF">2026-03-12T22:36:18Z</dcterms:modified>
</cp:coreProperties>
</file>